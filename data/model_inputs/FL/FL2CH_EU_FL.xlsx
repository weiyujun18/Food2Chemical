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Workspace\Food_lost2Ch\IO\"/>
    </mc:Choice>
  </mc:AlternateContent>
  <xr:revisionPtr revIDLastSave="0" documentId="13_ncr:1_{856CE733-E426-496D-904D-F008E1B458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ta" sheetId="1" r:id="rId1"/>
    <sheet name="yield" sheetId="6" r:id="rId2"/>
    <sheet name="FL" sheetId="2" r:id="rId3"/>
    <sheet name="CH" sheetId="3" r:id="rId4"/>
    <sheet name="profit" sheetId="4" r:id="rId5"/>
    <sheet name="GWP" sheetId="5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65" i="6" l="1"/>
  <c r="D565" i="6"/>
  <c r="G564" i="6"/>
  <c r="D564" i="6"/>
  <c r="H559" i="6"/>
  <c r="G559" i="6"/>
  <c r="G558" i="6"/>
  <c r="G557" i="6"/>
  <c r="G556" i="6"/>
  <c r="G555" i="6"/>
  <c r="H553" i="6"/>
  <c r="G553" i="6"/>
  <c r="G552" i="6"/>
  <c r="G551" i="6"/>
  <c r="G550" i="6"/>
  <c r="G549" i="6"/>
  <c r="G548" i="6"/>
  <c r="G547" i="6"/>
  <c r="H545" i="6"/>
  <c r="G545" i="6"/>
  <c r="G544" i="6"/>
  <c r="G543" i="6"/>
  <c r="D543" i="6"/>
  <c r="G542" i="6"/>
  <c r="D542" i="6"/>
  <c r="G541" i="6"/>
  <c r="D541" i="6"/>
  <c r="G540" i="6"/>
  <c r="D540" i="6"/>
  <c r="H535" i="6"/>
  <c r="G535" i="6"/>
  <c r="H530" i="6"/>
  <c r="G530" i="6"/>
  <c r="G529" i="6"/>
  <c r="D529" i="6"/>
  <c r="G528" i="6"/>
  <c r="D528" i="6"/>
  <c r="G527" i="6"/>
  <c r="G526" i="6"/>
  <c r="H523" i="6"/>
  <c r="G523" i="6"/>
  <c r="G522" i="6"/>
  <c r="D522" i="6"/>
  <c r="G521" i="6"/>
  <c r="G520" i="6"/>
  <c r="H515" i="6"/>
  <c r="G515" i="6"/>
  <c r="G514" i="6"/>
  <c r="D514" i="6"/>
  <c r="G513" i="6"/>
  <c r="D513" i="6"/>
  <c r="G512" i="6"/>
  <c r="G511" i="6"/>
  <c r="G510" i="6"/>
  <c r="G509" i="6"/>
  <c r="G508" i="6"/>
  <c r="G507" i="6"/>
  <c r="G506" i="6"/>
  <c r="G505" i="6"/>
  <c r="G504" i="6"/>
  <c r="G503" i="6"/>
  <c r="G502" i="6"/>
  <c r="G501" i="6"/>
  <c r="G500" i="6"/>
  <c r="G499" i="6"/>
  <c r="G498" i="6"/>
  <c r="D498" i="6"/>
  <c r="G497" i="6"/>
  <c r="D497" i="6"/>
  <c r="G496" i="6"/>
  <c r="D496" i="6"/>
  <c r="G495" i="6"/>
  <c r="G494" i="6"/>
  <c r="D494" i="6"/>
  <c r="G493" i="6"/>
  <c r="D493" i="6"/>
  <c r="G492" i="6"/>
  <c r="D492" i="6"/>
  <c r="G491" i="6"/>
  <c r="D491" i="6"/>
  <c r="G490" i="6"/>
  <c r="G489" i="6"/>
  <c r="D489" i="6"/>
  <c r="G488" i="6"/>
  <c r="D488" i="6"/>
  <c r="G487" i="6"/>
  <c r="D487" i="6"/>
  <c r="G486" i="6"/>
  <c r="G485" i="6"/>
  <c r="G484" i="6"/>
  <c r="D484" i="6"/>
  <c r="G482" i="6"/>
  <c r="D482" i="6"/>
  <c r="H477" i="6"/>
  <c r="G477" i="6"/>
  <c r="G476" i="6"/>
  <c r="G475" i="6"/>
  <c r="H472" i="6"/>
  <c r="G472" i="6"/>
  <c r="D472" i="6"/>
  <c r="G471" i="6"/>
  <c r="H469" i="6"/>
  <c r="G469" i="6"/>
  <c r="G468" i="6"/>
  <c r="H463" i="6"/>
  <c r="G463" i="6"/>
  <c r="G462" i="6"/>
  <c r="H459" i="6"/>
  <c r="G459" i="6"/>
  <c r="H456" i="6"/>
  <c r="G456" i="6"/>
  <c r="H451" i="6"/>
  <c r="G451" i="6"/>
  <c r="H446" i="6"/>
  <c r="G446" i="6"/>
  <c r="G445" i="6"/>
  <c r="D444" i="6"/>
  <c r="D442" i="6"/>
  <c r="D441" i="6"/>
  <c r="H440" i="6"/>
  <c r="G440" i="6"/>
  <c r="H437" i="6"/>
  <c r="G437" i="6"/>
  <c r="G436" i="6"/>
  <c r="D436" i="6"/>
  <c r="H431" i="6"/>
  <c r="G431" i="6"/>
  <c r="H426" i="6"/>
  <c r="G426" i="6"/>
  <c r="H421" i="6"/>
  <c r="G421" i="6"/>
  <c r="H419" i="6"/>
  <c r="G419" i="6"/>
  <c r="G418" i="6"/>
  <c r="H413" i="6"/>
  <c r="G413" i="6"/>
  <c r="G412" i="6"/>
  <c r="D412" i="6"/>
  <c r="H407" i="6"/>
  <c r="G407" i="6"/>
  <c r="H403" i="6"/>
  <c r="G403" i="6"/>
  <c r="G402" i="6"/>
  <c r="G401" i="6"/>
  <c r="H397" i="6"/>
  <c r="G397" i="6"/>
  <c r="G396" i="6"/>
  <c r="D396" i="6"/>
  <c r="G395" i="6"/>
  <c r="D395" i="6"/>
  <c r="G394" i="6"/>
  <c r="G393" i="6"/>
  <c r="G392" i="6"/>
  <c r="G391" i="6"/>
  <c r="G390" i="6"/>
  <c r="G389" i="6"/>
  <c r="G388" i="6"/>
  <c r="G386" i="6"/>
  <c r="G385" i="6"/>
  <c r="G384" i="6"/>
  <c r="G383" i="6"/>
  <c r="G382" i="6"/>
  <c r="G378" i="6"/>
  <c r="G377" i="6"/>
  <c r="G376" i="6"/>
  <c r="G375" i="6"/>
  <c r="D375" i="6"/>
  <c r="G374" i="6"/>
  <c r="D374" i="6"/>
  <c r="H373" i="6"/>
  <c r="G373" i="6"/>
  <c r="H368" i="6"/>
  <c r="G368" i="6"/>
  <c r="G367" i="6"/>
  <c r="D367" i="6"/>
  <c r="G366" i="6"/>
  <c r="D366" i="6"/>
  <c r="G365" i="6"/>
  <c r="D365" i="6"/>
  <c r="G364" i="6"/>
  <c r="G363" i="6"/>
  <c r="D363" i="6"/>
  <c r="G362" i="6"/>
  <c r="D362" i="6"/>
  <c r="H360" i="6"/>
  <c r="G360" i="6"/>
  <c r="G359" i="6"/>
  <c r="D359" i="6"/>
  <c r="G358" i="6"/>
  <c r="D358" i="6"/>
  <c r="H353" i="6"/>
  <c r="G353" i="6"/>
  <c r="G352" i="6"/>
  <c r="D352" i="6"/>
  <c r="G351" i="6"/>
  <c r="D351" i="6"/>
  <c r="G350" i="6"/>
  <c r="G349" i="6"/>
  <c r="G348" i="6"/>
  <c r="G347" i="6"/>
  <c r="G346" i="6"/>
  <c r="G345" i="6"/>
  <c r="G344" i="6"/>
  <c r="G343" i="6"/>
  <c r="G342" i="6"/>
  <c r="G341" i="6"/>
  <c r="G340" i="6"/>
  <c r="G339" i="6"/>
  <c r="G338" i="6"/>
  <c r="G337" i="6"/>
  <c r="G336" i="6"/>
  <c r="D336" i="6"/>
  <c r="G335" i="6"/>
  <c r="D335" i="6"/>
  <c r="G334" i="6"/>
  <c r="D334" i="6"/>
  <c r="G333" i="6"/>
  <c r="D333" i="6"/>
  <c r="G332" i="6"/>
  <c r="D332" i="6"/>
  <c r="G331" i="6"/>
  <c r="D331" i="6"/>
  <c r="G330" i="6"/>
  <c r="D330" i="6"/>
  <c r="G329" i="6"/>
  <c r="D329" i="6"/>
  <c r="G328" i="6"/>
  <c r="G327" i="6"/>
  <c r="D327" i="6"/>
  <c r="G326" i="6"/>
  <c r="D326" i="6"/>
  <c r="G325" i="6"/>
  <c r="D325" i="6"/>
  <c r="G324" i="6"/>
  <c r="D324" i="6"/>
  <c r="G323" i="6"/>
  <c r="D323" i="6"/>
  <c r="G322" i="6"/>
  <c r="G321" i="6"/>
  <c r="G320" i="6"/>
  <c r="D320" i="6"/>
  <c r="G319" i="6"/>
  <c r="G318" i="6"/>
  <c r="G317" i="6"/>
  <c r="G316" i="6"/>
  <c r="G315" i="6"/>
  <c r="G314" i="6"/>
  <c r="G313" i="6"/>
  <c r="G312" i="6"/>
  <c r="H308" i="6"/>
  <c r="G308" i="6"/>
  <c r="G307" i="6"/>
  <c r="G306" i="6"/>
  <c r="G305" i="6"/>
  <c r="G304" i="6"/>
  <c r="G303" i="6"/>
  <c r="G302" i="6"/>
  <c r="G301" i="6"/>
  <c r="G300" i="6"/>
  <c r="G299" i="6"/>
  <c r="D299" i="6"/>
  <c r="H297" i="6"/>
  <c r="G297" i="6"/>
  <c r="H292" i="6"/>
  <c r="G292" i="6"/>
  <c r="H289" i="6"/>
  <c r="G289" i="6"/>
  <c r="G288" i="6"/>
  <c r="D288" i="6"/>
  <c r="G287" i="6"/>
  <c r="D287" i="6"/>
  <c r="G286" i="6"/>
  <c r="G285" i="6"/>
  <c r="D285" i="6"/>
  <c r="D284" i="6"/>
  <c r="H283" i="6"/>
  <c r="G283" i="6"/>
  <c r="H278" i="6"/>
  <c r="G278" i="6"/>
  <c r="G277" i="6"/>
  <c r="G276" i="6"/>
  <c r="H271" i="6"/>
  <c r="G271" i="6"/>
  <c r="G270" i="6"/>
  <c r="G269" i="6"/>
  <c r="D269" i="6"/>
  <c r="G268" i="6"/>
  <c r="G267" i="6"/>
  <c r="G266" i="6"/>
  <c r="G265" i="6"/>
  <c r="G264" i="6"/>
  <c r="G263" i="6"/>
  <c r="G262" i="6"/>
  <c r="G261" i="6"/>
  <c r="G260" i="6"/>
  <c r="G259" i="6"/>
  <c r="G258" i="6"/>
  <c r="G257" i="6"/>
  <c r="G256" i="6"/>
  <c r="G255" i="6"/>
  <c r="G254" i="6"/>
  <c r="D254" i="6"/>
  <c r="G253" i="6"/>
  <c r="D253" i="6"/>
  <c r="G252" i="6"/>
  <c r="D252" i="6"/>
  <c r="G251" i="6"/>
  <c r="G250" i="6"/>
  <c r="G249" i="6"/>
  <c r="G248" i="6"/>
  <c r="G247" i="6"/>
  <c r="G246" i="6"/>
  <c r="G245" i="6"/>
  <c r="D245" i="6"/>
  <c r="G244" i="6"/>
  <c r="D244" i="6"/>
  <c r="G243" i="6"/>
  <c r="D243" i="6"/>
  <c r="G242" i="6"/>
  <c r="G241" i="6"/>
  <c r="G240" i="6"/>
  <c r="G239" i="6"/>
  <c r="D239" i="6"/>
  <c r="G238" i="6"/>
  <c r="D238" i="6"/>
  <c r="G237" i="6"/>
  <c r="G236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3" i="6"/>
  <c r="D223" i="6"/>
  <c r="G222" i="6"/>
  <c r="D222" i="6"/>
  <c r="G221" i="6"/>
  <c r="D221" i="6"/>
  <c r="G220" i="6"/>
  <c r="G219" i="6"/>
  <c r="G218" i="6"/>
  <c r="G217" i="6"/>
  <c r="G216" i="6"/>
  <c r="G215" i="6"/>
  <c r="G214" i="6"/>
  <c r="D214" i="6"/>
  <c r="G213" i="6"/>
  <c r="D213" i="6"/>
  <c r="G212" i="6"/>
  <c r="D212" i="6"/>
  <c r="G211" i="6"/>
  <c r="G210" i="6"/>
  <c r="G209" i="6"/>
  <c r="G208" i="6"/>
  <c r="D208" i="6"/>
  <c r="G207" i="6"/>
  <c r="D207" i="6"/>
  <c r="G206" i="6"/>
  <c r="G205" i="6"/>
  <c r="G204" i="6"/>
  <c r="G203" i="6"/>
  <c r="G202" i="6"/>
  <c r="H200" i="6"/>
  <c r="G200" i="6"/>
  <c r="G199" i="6"/>
  <c r="G198" i="6"/>
  <c r="G197" i="6"/>
  <c r="G196" i="6"/>
  <c r="G195" i="6"/>
  <c r="G194" i="6"/>
  <c r="G193" i="6"/>
  <c r="H187" i="6"/>
  <c r="G187" i="6"/>
  <c r="H186" i="6"/>
  <c r="G186" i="6"/>
  <c r="D186" i="6"/>
  <c r="G185" i="6"/>
  <c r="H183" i="6"/>
  <c r="G183" i="6"/>
  <c r="G182" i="6"/>
  <c r="H177" i="6"/>
  <c r="G177" i="6"/>
  <c r="G176" i="6"/>
  <c r="H175" i="6"/>
  <c r="G175" i="6"/>
  <c r="H174" i="6"/>
  <c r="G174" i="6"/>
  <c r="G173" i="6"/>
  <c r="H172" i="6"/>
  <c r="G172" i="6"/>
  <c r="D172" i="6"/>
  <c r="H171" i="6"/>
  <c r="G171" i="6"/>
  <c r="D171" i="6"/>
  <c r="H170" i="6"/>
  <c r="G170" i="6"/>
  <c r="D170" i="6"/>
  <c r="G169" i="6"/>
  <c r="G168" i="6"/>
  <c r="H165" i="6"/>
  <c r="G165" i="6"/>
  <c r="G164" i="6"/>
  <c r="D164" i="6"/>
  <c r="G163" i="6"/>
  <c r="D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H146" i="6"/>
  <c r="G146" i="6"/>
  <c r="G145" i="6"/>
  <c r="G144" i="6"/>
  <c r="H142" i="6"/>
  <c r="G142" i="6"/>
  <c r="G141" i="6"/>
  <c r="H135" i="6"/>
  <c r="G135" i="6"/>
  <c r="G134" i="6"/>
  <c r="G133" i="6"/>
  <c r="G132" i="6"/>
  <c r="G131" i="6"/>
  <c r="G130" i="6"/>
  <c r="G129" i="6"/>
  <c r="D129" i="6"/>
  <c r="G128" i="6"/>
  <c r="D128" i="6"/>
  <c r="G127" i="6"/>
  <c r="G126" i="6"/>
  <c r="H121" i="6"/>
  <c r="G121" i="6"/>
  <c r="G120" i="6"/>
  <c r="D120" i="6"/>
  <c r="G118" i="6"/>
  <c r="G113" i="6"/>
  <c r="G108" i="6"/>
  <c r="G107" i="6"/>
  <c r="H102" i="6"/>
  <c r="G102" i="6"/>
  <c r="H100" i="6"/>
  <c r="G100" i="6"/>
  <c r="H95" i="6"/>
  <c r="G95" i="6"/>
  <c r="H90" i="6"/>
  <c r="G90" i="6"/>
  <c r="H87" i="6"/>
  <c r="G87" i="6"/>
  <c r="H82" i="6"/>
  <c r="G82" i="6"/>
  <c r="H77" i="6"/>
  <c r="G77" i="6"/>
  <c r="H72" i="6"/>
  <c r="G72" i="6"/>
  <c r="H67" i="6"/>
  <c r="G67" i="6"/>
  <c r="D63" i="6"/>
  <c r="D62" i="6"/>
  <c r="H61" i="6"/>
  <c r="G61" i="6"/>
  <c r="H56" i="6"/>
  <c r="G56" i="6"/>
  <c r="H51" i="6"/>
  <c r="G51" i="6"/>
  <c r="H46" i="6"/>
  <c r="G46" i="6"/>
  <c r="H41" i="6"/>
  <c r="G41" i="6"/>
  <c r="H36" i="6"/>
  <c r="G36" i="6"/>
  <c r="H31" i="6"/>
  <c r="G31" i="6"/>
  <c r="H26" i="6"/>
  <c r="G26" i="6"/>
  <c r="H25" i="6"/>
  <c r="G25" i="6"/>
  <c r="H24" i="6"/>
  <c r="G24" i="6"/>
  <c r="D22" i="6"/>
  <c r="H19" i="6"/>
  <c r="G19" i="6"/>
  <c r="G18" i="6"/>
  <c r="D18" i="6"/>
  <c r="H13" i="6"/>
  <c r="G13" i="6"/>
  <c r="H8" i="6"/>
  <c r="G8" i="6"/>
  <c r="G7" i="6"/>
  <c r="H6" i="6"/>
  <c r="G6" i="6"/>
  <c r="H2" i="6"/>
  <c r="G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tc={8F20A979-4138-45B9-A91B-715ED4E4B290}</author>
  </authors>
  <commentList>
    <comment ref="C535" authorId="0" shapeId="0" xr:uid="{8F20A979-4138-45B9-A91B-715ED4E4B290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the xylose content in SCB</t>
      </text>
    </comment>
  </commentList>
</comments>
</file>

<file path=xl/sharedStrings.xml><?xml version="1.0" encoding="utf-8"?>
<sst xmlns="http://schemas.openxmlformats.org/spreadsheetml/2006/main" count="2575" uniqueCount="918">
  <si>
    <t>Column1</t>
  </si>
  <si>
    <t>label</t>
  </si>
  <si>
    <t>whole  wheat</t>
  </si>
  <si>
    <t>potato</t>
  </si>
  <si>
    <t>sugar beet</t>
  </si>
  <si>
    <t>corn</t>
  </si>
  <si>
    <t>barley</t>
  </si>
  <si>
    <t>rapeseed</t>
  </si>
  <si>
    <t>tomato</t>
  </si>
  <si>
    <t>apple</t>
  </si>
  <si>
    <t>ETHANOL</t>
  </si>
  <si>
    <t>FURFURAL</t>
  </si>
  <si>
    <t>HMF</t>
  </si>
  <si>
    <t>FDCA</t>
  </si>
  <si>
    <t>ISOPRENE</t>
  </si>
  <si>
    <t>SUCCINIC ACID</t>
  </si>
  <si>
    <t>3HP</t>
  </si>
  <si>
    <t>LEVULINIC ACID</t>
  </si>
  <si>
    <t>LACTIC ACID</t>
  </si>
  <si>
    <t>SORBITOL</t>
  </si>
  <si>
    <t>XYLITOL</t>
  </si>
  <si>
    <t>PC</t>
  </si>
  <si>
    <t>FL/FB</t>
  </si>
  <si>
    <t>Yield</t>
  </si>
  <si>
    <t>Unit of Yield</t>
  </si>
  <si>
    <t>Standardized unit [w/w crop]</t>
  </si>
  <si>
    <t>AVERAGE</t>
  </si>
  <si>
    <t>std</t>
  </si>
  <si>
    <t>Source</t>
  </si>
  <si>
    <t>Notes?</t>
  </si>
  <si>
    <t>0,487 - 0,395</t>
  </si>
  <si>
    <t>L/kg Dry Corn</t>
  </si>
  <si>
    <t>https://www.mdpi.com/2227-9717/7/9/578#app1-processes-07-00578</t>
  </si>
  <si>
    <t/>
  </si>
  <si>
    <t>36,13 - 34,69</t>
  </si>
  <si>
    <t>%w/w Dry Corn</t>
  </si>
  <si>
    <t xml:space="preserve">https://www-sciencedirect-com.ezproxy.library.wur.nl/science/article/pii/S1359511316300010 </t>
  </si>
  <si>
    <t>334.2-379.5</t>
  </si>
  <si>
    <t>g Ethanol/kg Raw Corn</t>
  </si>
  <si>
    <t>Soaking in Aqueous Ammonia (SAA) Pretreatment of Whole Corn Kernels for Cellulosic Ethanol Production from the Fiber Fractions</t>
  </si>
  <si>
    <t>https://www.mdpi.com/2311-5637/4/4/87</t>
  </si>
  <si>
    <t>34.2-37.9</t>
  </si>
  <si>
    <t>yield g/g grain</t>
  </si>
  <si>
    <t>https://www.sciencedirect.com/science/article/pii/S0960852419301361?via%3Dihub#t0005</t>
  </si>
  <si>
    <t>corn germ</t>
  </si>
  <si>
    <t>60,10 - 38,90</t>
  </si>
  <si>
    <t>%w/w Germ meal</t>
  </si>
  <si>
    <t>https://www.mdpi.com/2227-9717/10/4/661</t>
  </si>
  <si>
    <t>SSCF Fermented 20%w/w</t>
  </si>
  <si>
    <t>corn pericarp</t>
  </si>
  <si>
    <t>0.31-3.31</t>
  </si>
  <si>
    <t>ethanol g/ 100 g dry matter</t>
  </si>
  <si>
    <t>https://elibrary.asabe.org/abstract.asp?aid=27102</t>
  </si>
  <si>
    <t>whole wheat</t>
  </si>
  <si>
    <t>78-55</t>
  </si>
  <si>
    <t>%w/w Glucose and xylose in Wheat</t>
  </si>
  <si>
    <t>https://www.sciencedirect.com/science/article/pii/S096195341300295X#tbl3fnc</t>
  </si>
  <si>
    <t>SSCF 7.5</t>
  </si>
  <si>
    <t>50.16 - 29.98</t>
  </si>
  <si>
    <t>%w/w Whole wheat</t>
  </si>
  <si>
    <t xml:space="preserve">https://www.sciencedirect.com/science/article/pii/S0957582007714428 </t>
  </si>
  <si>
    <t>yield g/g glucose</t>
  </si>
  <si>
    <t>https://www.sciencedirect.com/science/article/pii/S1359511309000439?pes=vor#bib39</t>
  </si>
  <si>
    <t>0.3-0.46</t>
  </si>
  <si>
    <t>https://analyticalsciencejournals.onlinelibrary.wiley.com/doi/full/10.1002/jctb.3822</t>
  </si>
  <si>
    <t>0.35-0.44</t>
  </si>
  <si>
    <t>https://onlinelibrary.wiley.com/doi/10.1002/ceat.201400763</t>
  </si>
  <si>
    <t>wheat bran</t>
  </si>
  <si>
    <t>%w/w Wheat bran</t>
  </si>
  <si>
    <t xml:space="preserve">https://www.sciencedirect.com/science/article/pii/S0141022910002607#fig0020 </t>
  </si>
  <si>
    <t>T. Hirsuta fermentation for 96h. 20g/l wb made 4.3g/L ethanol</t>
  </si>
  <si>
    <t>0.48 - 0.41</t>
  </si>
  <si>
    <t>g ethanol/g glucose in Wheat bran</t>
  </si>
  <si>
    <t xml:space="preserve">https://www-sciencedirect-com.ezproxy.library.wur.nl/science/article/pii/S0961953412002784 </t>
  </si>
  <si>
    <r>
      <t>S. cerevisiae</t>
    </r>
    <r>
      <rPr>
        <sz val="11"/>
        <color theme="1"/>
        <rFont val="Calibri"/>
        <family val="2"/>
        <scheme val="minor"/>
      </rPr>
      <t xml:space="preserve"> s1</t>
    </r>
  </si>
  <si>
    <t>0.45-0.50</t>
  </si>
  <si>
    <t>yield (gethanol/g of consumed substrate)</t>
  </si>
  <si>
    <t>https://www.sciencedirect.com/science/article/pii/S0306261915011691?via%3Dihub</t>
  </si>
  <si>
    <t>0.31-0.49</t>
  </si>
  <si>
    <t>yield (g/g glucose)</t>
  </si>
  <si>
    <t>https://www.sciencedirect.com/science/article/pii/S0306261912004357?via%3Dihub</t>
  </si>
  <si>
    <t>0.41-0.48</t>
  </si>
  <si>
    <t>g ethanol /g consumed glucose</t>
  </si>
  <si>
    <t>https://www.sciencedirect.com/science/article/pii/S0961953412002784?via%3Dihub</t>
  </si>
  <si>
    <t>wheat germ</t>
  </si>
  <si>
    <t>theoretical yield</t>
  </si>
  <si>
    <t>50% theoretical yield</t>
  </si>
  <si>
    <t>0.4455-0.4623</t>
  </si>
  <si>
    <t>g ethanol/g glucose in Potato</t>
  </si>
  <si>
    <t xml:space="preserve">https://www.mdpi.com/2076-3417/2/4/738 </t>
  </si>
  <si>
    <t>Enzymatically hydrolyzed waste potato mash at pH 5.5 and 30 °C after 48 h of fermentation</t>
  </si>
  <si>
    <t xml:space="preserve">https://www.sciencedirect.com/science/article/pii/S0016236116303623?via%3Dihub </t>
  </si>
  <si>
    <t>Of the theoretical yield (theoretical, 0.511g)</t>
  </si>
  <si>
    <t>https://link.springer.com/article/10.1007/s10068-013-0099-4</t>
  </si>
  <si>
    <t>Production of a high concentration of ethanol from potato tuber by high gravity fermentation</t>
  </si>
  <si>
    <t>https://www.mdpi.com/1422-0067/16/10/24490</t>
  </si>
  <si>
    <t>94%-89.7%</t>
  </si>
  <si>
    <t>https://www.sciencedirect.com/science/article/pii/S0961953409000233?via%3Dihub#sec2</t>
  </si>
  <si>
    <t>m3 eth/Gg tomato</t>
  </si>
  <si>
    <t xml:space="preserve">https://www.sciencedirect.com/science/article/pii/S0961953417302349 </t>
  </si>
  <si>
    <t xml:space="preserve"> theoretical ethanol yield from fermentation of galacturonic acid followed an equimolar production of acetate and ethanol by the ethanologenic construct of E. coli KO11</t>
  </si>
  <si>
    <t>tomato pomace</t>
  </si>
  <si>
    <t>g eth/100g dry tomato pomace</t>
  </si>
  <si>
    <t xml:space="preserve">https://link-springer-com.ezproxy.library.wur.nl/article/10.1007/s12155-019-10016-7 </t>
  </si>
  <si>
    <t>thermal pretreatment, enzymatic hydrolisis etc, Alcoholic fermentaiton K. Marxianus DSM 5422</t>
  </si>
  <si>
    <t>sugarcane</t>
  </si>
  <si>
    <t>74.7 - 63.85</t>
  </si>
  <si>
    <t>% of theoretical yield</t>
  </si>
  <si>
    <t xml:space="preserve">https://biotechnologyforbiofuels.biomedcentral.com/articles/10.1186/s13068-015-0224-0 </t>
  </si>
  <si>
    <t xml:space="preserve">sulfuric acid pretreatment, enzymatic hydrolisis, alcoholic fermentation S. cerevisiae CAT-1 </t>
  </si>
  <si>
    <t>77.5 - 51.5</t>
  </si>
  <si>
    <t xml:space="preserve">https://www.scopus.com/record/display.uri?eid=2-s2.0-34548021881&amp;origin=resultslist&amp;sort=r-f&amp;src=s&amp;sid=98710797b13ce2eaab7165cc3f6aaa48&amp;sot=b&amp;sdt=b&amp;s=TITLE-ABS-KEY%28%28+%22sugarcane%22+OR+%22sugar+cane%22+OR+%22whole+sugarcane%22+OR+%22whole+sugar+cane%22+%29+AND+%28+%22ethanol+production%22+%29+AND+%28+%22yield%22+%29%29&amp;sl=133&amp;sessionSearchId=98710797b13ce2eaab7165cc3f6aaa48 </t>
  </si>
  <si>
    <t>Kluyveromyces marxianus DMKU 3-1042</t>
  </si>
  <si>
    <t>https://www.sciencedirect.com/science/article/pii/S0960852411002008</t>
  </si>
  <si>
    <t xml:space="preserve">thermotolerant strain of P. kudriavzevii </t>
  </si>
  <si>
    <t>0.232-0.392</t>
  </si>
  <si>
    <t>https://www.sciencedirect.com/science/article/pii/S0960852412016409#t0015</t>
  </si>
  <si>
    <t>0.34-0.42</t>
  </si>
  <si>
    <t>https://onlinelibrary.wiley.com/doi/full/10.1111/gcbb.12891</t>
  </si>
  <si>
    <t>sugarcane bagasse</t>
  </si>
  <si>
    <t>58.16 - 54.69</t>
  </si>
  <si>
    <t>0.49 - 0.46</t>
  </si>
  <si>
    <t>g eth/g hydrolized bagasse</t>
  </si>
  <si>
    <t>https://www.scopus.com/record/display.uri?eid=2-s2.0-85173894582&amp;origin=resultslist&amp;sort=plf-f&amp;src=s&amp;sid=a82dc4bbcb1579116418651cac7c446d&amp;sot=b&amp;sdt=b&amp;s=TITLE-ABS-KEY%28%28%22bagasse%22%29+AND+%28%22ethanol+production%22%29%29&amp;sl=53&amp;sessionSearchId=a82dc4bbcb1579116418651cac7c446d</t>
  </si>
  <si>
    <t>mg eth/g bagasse</t>
  </si>
  <si>
    <t>https://www.scopus.com/record/display.uri?eid=2-s2.0-85163169278&amp;origin=resultslist&amp;sort=plf-f&amp;src=s&amp;sid=a82dc4bbcb1579116418651cac7c446d&amp;sot=b&amp;sdt=b&amp;s=TITLE-ABS-KEY%28%28%22bagasse%22%29+AND+%28%22ethanol+production%22%29%29&amp;sl=53&amp;sessionSearchId=a82dc4bbcb1579116418651cac7c446d</t>
  </si>
  <si>
    <t>8.65 - 5.35</t>
  </si>
  <si>
    <t>Input of bagasse, kg/L ethanol</t>
  </si>
  <si>
    <t xml:space="preserve">https://www.scopus.com/record/display.uri?eid=2-s2.0-80755187758&amp;origin=resultslist&amp;sort=r-f&amp;src=s&amp;sid=a82dc4bbcb1579116418651cac7c446d&amp;sot=b&amp;sdt=b&amp;s=TITLE-ABS-KEY%28%28+%22bagasse%22+%29+AND+%28+%22ethanol+production%22+%29+AND+%22yield%22%29&amp;sl=53&amp;sessionSearchId=a82dc4bbcb1579116418651cac7c446d </t>
  </si>
  <si>
    <t>SHF</t>
  </si>
  <si>
    <t>0.45-0.21</t>
  </si>
  <si>
    <t>g eth/g sugar in scb</t>
  </si>
  <si>
    <t>https://sci-hub.se/10.1016/j.renene.2012.07.003</t>
  </si>
  <si>
    <t>sugarcane molasses</t>
  </si>
  <si>
    <t>0.421 - 0.416</t>
  </si>
  <si>
    <t>g eth/g sugar in molasses</t>
  </si>
  <si>
    <t xml:space="preserve">https://www.scielo.br/j/bjm/a/tMZzMhg7xVLL9QqsrKNRzSx/?lang=en# </t>
  </si>
  <si>
    <t>85.12 - 65.57</t>
  </si>
  <si>
    <t>% theoretical yield</t>
  </si>
  <si>
    <t xml:space="preserve">https://openscholar.dut.ac.za/bitstream/10321/888/1/nofemele_sure_et_al_2012.pdf </t>
  </si>
  <si>
    <t>0.46 - 0.24</t>
  </si>
  <si>
    <t>g eth/g substrate</t>
  </si>
  <si>
    <t xml:space="preserve">https://www.sciencedirect.com/science/article/pii/S0961953412004424 </t>
  </si>
  <si>
    <t>CSTR</t>
  </si>
  <si>
    <t>https://www.sciencedirect.com/science/article/pii/S096014811000340X</t>
  </si>
  <si>
    <t>0.24-0.42</t>
  </si>
  <si>
    <t>https://www.sciencedirect.com/science/article/pii/S0960852406004512?casa_token=DCUUSwqzhwEAAAAA:AAb0EcEw6557QDvSW4FnO_HMzZ2lNRJFKv_YbEeusuUBFDllci87FSqGp6XZBwC-wa_0KQY#tbl2</t>
  </si>
  <si>
    <t>L eth/Ton Sugar Beet</t>
  </si>
  <si>
    <t>https://www.sciencedirect.com/science/article/pii/S0959652617309824</t>
  </si>
  <si>
    <t>US focus</t>
  </si>
  <si>
    <t>0.502 - 0.281</t>
  </si>
  <si>
    <t>g/g sucrose in beets</t>
  </si>
  <si>
    <t xml:space="preserve">https://hrcak.srce.hr/file/87226 </t>
  </si>
  <si>
    <t>Batch</t>
  </si>
  <si>
    <t>ethanol yield (m³/ha)</t>
  </si>
  <si>
    <t>https://mediathek.fnr.de/downloadable/download/sample/sample_id/168/</t>
  </si>
  <si>
    <t>N. Schmitz-Bioethanol in Deutschland- Bundesministerium für Verbraucherschutz, Ernaehrung und Landwirtschaft, Münster Deutschland (2003)</t>
  </si>
  <si>
    <t>26.72-49.1</t>
  </si>
  <si>
    <t>Ethanol (% of Dry Weight)</t>
  </si>
  <si>
    <t>https://www.sciencedirect.com/science/article/pii/S1878818117301998?pes=vor#t0005</t>
  </si>
  <si>
    <t>Steam explosion and fermentation of sugar beets from Southern Florida and the Midwestern United States</t>
  </si>
  <si>
    <t>0.10 (490.40)</t>
  </si>
  <si>
    <t>kg dry sugar beet/MJEtOH (LEtOH/tdry sugar beet)</t>
  </si>
  <si>
    <t>https://www.sciencedirect.com/science/article/pii/S0959652617309824#tbl4</t>
  </si>
  <si>
    <t>Sugar beet ethanol (Beta vulgaris L.): A promising low-carbon pathway for ethanol production in California</t>
  </si>
  <si>
    <t>sugar beet pulp</t>
  </si>
  <si>
    <t>0.144 - 0.092</t>
  </si>
  <si>
    <t>g eth/ g dry SBP</t>
  </si>
  <si>
    <t>https://www-sciencedirect-com.ezproxy.library.wur.nl/science/article/pii/S0306261911008907</t>
  </si>
  <si>
    <t>E. coli KO11</t>
  </si>
  <si>
    <t>95 - 5.7</t>
  </si>
  <si>
    <t>L eth/ 100 kg SBP</t>
  </si>
  <si>
    <t xml:space="preserve">https://onlinelibrary.wiley.com/doi/full/10.1002/jib.181 </t>
  </si>
  <si>
    <t>Stationary culture, S. Cervisiae, Pasteurized, Ethanol Red</t>
  </si>
  <si>
    <t>gallon ethanol per ton dry SBP</t>
  </si>
  <si>
    <t>https://www.eurekaselect.com/article/70433</t>
  </si>
  <si>
    <t>0.122 - 0.005</t>
  </si>
  <si>
    <t>g eth/ g SBP</t>
  </si>
  <si>
    <t>Ethanol fermentation characteristics of Pichia stipitis yeast from sugar beet pulp hydrolysate: Use of new detoxification methods - ScienceDirect</t>
  </si>
  <si>
    <t>g eth/ g glucose</t>
  </si>
  <si>
    <t>https://elibrary.asabe.org/abstract.asp??JID=3&amp;AID=37124&amp;CID=biee2010&amp;v=3&amp;i=4&amp;T=1</t>
  </si>
  <si>
    <t>sugar beet molasses</t>
  </si>
  <si>
    <t>0.52 - 0.46</t>
  </si>
  <si>
    <t xml:space="preserve">https://dergipark.org.tr/tr/download/article-file/1369920 </t>
  </si>
  <si>
    <t>E Coli TS3</t>
  </si>
  <si>
    <t>99.5 - 78.9</t>
  </si>
  <si>
    <t xml:space="preserve">% of theoretical </t>
  </si>
  <si>
    <t xml:space="preserve">https://www.mdpi.com/2311-5637/7/2/86 </t>
  </si>
  <si>
    <t>31.7 - 2</t>
  </si>
  <si>
    <t>L eth/ 100kg Molasses</t>
  </si>
  <si>
    <t>https://onlinelibrary.wiley.com/doi/full/10.1002/jib.536?sid=worldcat.org</t>
  </si>
  <si>
    <t>Immobilised S. Cervisiae cells at an initial sugar concentration of 175 g/L</t>
  </si>
  <si>
    <t>0.49 - 0.44</t>
  </si>
  <si>
    <t>g eth/ g Molasses</t>
  </si>
  <si>
    <t xml:space="preserve">https://www-sciencedirect-com.ezproxy.library.wur.nl/science/article/pii/S0141022911000044 </t>
  </si>
  <si>
    <t xml:space="preserve">S. cerevisiae entrapped in an alginate–maize stem ground tissue matrix </t>
  </si>
  <si>
    <t>0.42-0.49</t>
  </si>
  <si>
    <t>g ethanol /g sugar</t>
  </si>
  <si>
    <t>rice grain</t>
  </si>
  <si>
    <t>75.02-101.38</t>
  </si>
  <si>
    <t xml:space="preserve"> g/L</t>
  </si>
  <si>
    <t>https://www.sciencedirect.com/science/article/pii/S096085241931452X?pes=vor#s0010</t>
  </si>
  <si>
    <t>0.463-0.47</t>
  </si>
  <si>
    <t>g/g sugar</t>
  </si>
  <si>
    <t>https://pubs.rsc.org/en/content/articlelanding/2015/ra/c5ra17797a</t>
  </si>
  <si>
    <t>https://www.sciencedirect.com/science/article/pii/S0196890424000463?pes=vor#b0250</t>
  </si>
  <si>
    <t>54.1-62.45</t>
  </si>
  <si>
    <t>https://www.nature.com/articles/s41598-022-06245-0/tables/2</t>
  </si>
  <si>
    <t>49.96-58.93</t>
  </si>
  <si>
    <t>rice hull</t>
  </si>
  <si>
    <t>g-ethanol/g-glucose in rice hull</t>
  </si>
  <si>
    <t>https://www.scopus.com/record/display.uri?eid=2-s2.0-84859838302&amp;origin=resultslist&amp;sort=plf-f&amp;src=s&amp;sid=770bdfea32c2728de40361b11b940c79&amp;sot=a&amp;sdt=a&amp;s=TITLE-ABS-KEY%28%28%22rice+hull%22%29+AND+%28%22ethanol+production%22%29%29&amp;sl=55&amp;sessionSearchId=770bdfea32c2728de40361b11b940c79&amp;relpos=13</t>
  </si>
  <si>
    <t>g ethanol/g sugar</t>
  </si>
  <si>
    <t>https://aiche.onlinelibrary.wiley.com/doi/10.1002/btpr.2275</t>
  </si>
  <si>
    <t>https://www.sciencedirect.com/science/article/pii/S0960852410020237?pes=vor#s0025</t>
  </si>
  <si>
    <t>g ethanol/g glucose</t>
  </si>
  <si>
    <t>https://www.sciencedirect.com/science/article/pii/S0960852410020237?pes=vor#s0026</t>
  </si>
  <si>
    <t xml:space="preserve"> L ethanol/ton rice hull</t>
  </si>
  <si>
    <t>https://www.scopus.com/record/display.uri?eid=2-s2.0-79955907236&amp;origin=resultslist&amp;sort=plf-f&amp;src=s&amp;sid=770bdfea32c2728de40361b11b940c79&amp;sot=a&amp;sdt=a&amp;s=TITLE-ABS-KEY%28%28%22rice+hull%22%29+AND+%28%22ethanol+production%22%29%29&amp;sl=55&amp;sessionSearchId=770bdfea32c2728de40361b11b940c79&amp;relpos=15</t>
  </si>
  <si>
    <t>g ethanol/g total Sugar</t>
  </si>
  <si>
    <t>https://www.sciencedirect.com/science/article/pii/S0960852412019931?pes=vor</t>
  </si>
  <si>
    <t>rice bran</t>
  </si>
  <si>
    <t>3.498-13.4</t>
  </si>
  <si>
    <t>Ethanol production (g/L)</t>
  </si>
  <si>
    <t>https://www-sciencedirect-com.ezproxy.library.wur.nl/science/article/pii/S1871678414006736#sec0065</t>
  </si>
  <si>
    <t>0.23-0.33</t>
  </si>
  <si>
    <t>g/g of sugar</t>
  </si>
  <si>
    <t>https://link.springer.com/article/10.1007/s10163-022-01538-y</t>
  </si>
  <si>
    <t>https://www.degruyter.com/document/doi/10.2202/1556-3758.1453/html</t>
  </si>
  <si>
    <t>0.14-0.33</t>
  </si>
  <si>
    <t>https://link.springer.com/article/10.1007/s12355-013-0219-8</t>
  </si>
  <si>
    <t>0.28-0.5</t>
  </si>
  <si>
    <t>g/g of glucose</t>
  </si>
  <si>
    <t>https://link.springer.com/article/10.1007/s13399-022-03252-z</t>
  </si>
  <si>
    <t xml:space="preserve">66.5-88.9 </t>
  </si>
  <si>
    <t>L/ton apple</t>
  </si>
  <si>
    <t>https://link.springer.com/article/10.1007/s12155-023-10627-1</t>
  </si>
  <si>
    <t>0.47-0.49</t>
  </si>
  <si>
    <t>https://link.springer.com/article/10.1007/s12010-009-8781-y#Tab1</t>
  </si>
  <si>
    <t>0.0618-0.0742</t>
  </si>
  <si>
    <t>g ethanol /g raw material</t>
  </si>
  <si>
    <t>https://www.sciencedirect.com/science/article/pii/S0960852414016125?via%3Dihub#t0020</t>
  </si>
  <si>
    <t>0.41-0.49</t>
  </si>
  <si>
    <t>https://docserver-ingentaconnect-com.ezproxy.library.wur.nl/deliver/connect/asp/15566560/v8n1/s14.pdf?expires=1708548221&amp;id=0000&amp;titleid=72010009&amp;checksum=69ED311529DC2160386D3FBC70F6C858&amp;host=https://www-ingentaconnect-com.ezproxy.library.wur.nl</t>
  </si>
  <si>
    <t>0.19-0.341</t>
  </si>
  <si>
    <t>https://www.scopus.com/record/display.uri?eid=2-s2.0-80051684112&amp;origin=resultslist&amp;sort=r-f&amp;src=s&amp;sid=8e2249bd6afc38b3a5c479f5c24fcb22&amp;sot=b&amp;sdt=b&amp;s=TITLE-ABS-KEY%28%28+%22apple%22+%29+AND+%28+%22ethanol+production%22+%29%29&amp;sl=104&amp;sessionSearchId=8e2249bd6afc38b3a5c479f5c24fcb22&amp;relpos=10</t>
  </si>
  <si>
    <t>apple pomace</t>
  </si>
  <si>
    <t>0.02-0.47</t>
  </si>
  <si>
    <t>https://www.sciencedirect.com/science/article/pii/S0016236120327812?via%3Dihub#t0010</t>
  </si>
  <si>
    <t>0.342-0.46</t>
  </si>
  <si>
    <t>https://www.sciencedirect.com/science/article/pii/S0961953420303202?via%3Dihub#tbl2</t>
  </si>
  <si>
    <t>g ethanol/kg dry based apple pomace</t>
  </si>
  <si>
    <t>https://www.sciencedirect.com/science/article/pii/S0360544221027183?via%3Dihub#tbl4</t>
  </si>
  <si>
    <t>g ethanol/kg apple pomace</t>
  </si>
  <si>
    <t>https://www.sciencedirect.com/science/article/pii/S0960148123003518?via%3Dihub#tbl3</t>
  </si>
  <si>
    <t>0.389-0.945</t>
  </si>
  <si>
    <t>https://www.sciencedirect.com/science/article/pii/S0360544215006921?via%3Dihub#tbl3</t>
  </si>
  <si>
    <t>orange</t>
  </si>
  <si>
    <t>3.7-5.4</t>
  </si>
  <si>
    <t>wt% orange waste</t>
  </si>
  <si>
    <t>https://pubs-rsc-org.ezproxy.library.wur.nl/en/content/articlelanding/2013/ra/c3ra43722a</t>
  </si>
  <si>
    <t>0.58-1.4</t>
  </si>
  <si>
    <t>g ethanol/g reducing sugar</t>
  </si>
  <si>
    <t>https://www.sciencedirect.com/science/article/pii/0922338X89902572?via%3Dihub</t>
  </si>
  <si>
    <t>0.31-0.85</t>
  </si>
  <si>
    <t>g from 4.2 g of dry CPWO (Citrus processing waste from oranges)</t>
  </si>
  <si>
    <t>https://www.scielo.br/j/jbchs/a/XkTfhPwZwKNyNpLxsXvRM6s/?lang=en&amp;format=pdf</t>
  </si>
  <si>
    <t>ethanol production (gal/t of culled oranges)</t>
  </si>
  <si>
    <t>https://link.springer.com/article/10.1385/ABAB:113:1-3:095</t>
  </si>
  <si>
    <t>73.5-85.9</t>
  </si>
  <si>
    <t>%  theoretical yield</t>
  </si>
  <si>
    <t>https://elibrary.asabe.org/abstract.asp?aid=29174</t>
  </si>
  <si>
    <t>orange peel</t>
  </si>
  <si>
    <t>https://link.springer.com/article/10.1007/s11274-007-9346-2#Sec2</t>
  </si>
  <si>
    <t>0.40-0.46</t>
  </si>
  <si>
    <t>ethanol yield (g/g sugar)</t>
  </si>
  <si>
    <t>https://pubs.acs.org/doi/10.1021/jf903163t</t>
  </si>
  <si>
    <t>0.39-0.67</t>
  </si>
  <si>
    <t>product yield [g ethanol / g sugars]</t>
  </si>
  <si>
    <t>https://academic.oup.com/lambio/article-abstract/62/1/75/6699684?redirectedFrom=fulltext</t>
  </si>
  <si>
    <t>banana</t>
  </si>
  <si>
    <t>111.5-157.2</t>
  </si>
  <si>
    <t>EtOH production potential (l t−1 fw)</t>
  </si>
  <si>
    <t>https://www.sciencedirect.com/science/article/pii/S0961953411001413?via%3Dihub#tbl4</t>
  </si>
  <si>
    <t>the volume of bio-fuel produced (Vp) in relation to 1 t of dry biomass (mb))</t>
  </si>
  <si>
    <t>https://www.sciencedirect.com/science/article/pii/S0360544210001817#tbl6</t>
  </si>
  <si>
    <t>g bioethanol/g yield cell</t>
  </si>
  <si>
    <t>https://iopscience.iop.org/article/10.1088/1742-6596/2049/1/012084/pdf</t>
  </si>
  <si>
    <t>(g/g) Weight of ethanol produces/Mass of glucose utilized</t>
  </si>
  <si>
    <t>https://www.scopus.com/record/display.uri?eid=2-s2.0-84893926485&amp;origin=resultslist&amp;sort=r-f&amp;src=s&amp;sid=2000dec68bbc9a91a692683d626c4879&amp;sot=b&amp;sdt=b&amp;s=TITLE-ABS-KEY%28%28+%22banana%22+%29+AND+%28+%22ethanol+production%22+%29+AND+NOT+%28+%22peel%22+OR+%22stem%22+OR+%22leaf%22+%29%29&amp;sl=55&amp;sessionSearchId=2000dec68bbc9a91a692683d626c4879&amp;relpos=7</t>
  </si>
  <si>
    <t>0.159-0.182</t>
  </si>
  <si>
    <t>Y P/RS (g ethanol/g reduced sugar)</t>
  </si>
  <si>
    <t>https://link.springer.com/article/10.1007/s11274-023-03588-2#Tab1</t>
  </si>
  <si>
    <t>banana peel</t>
  </si>
  <si>
    <t>144.8-217.9</t>
  </si>
  <si>
    <t>Yield of Ethanol (g/Kg) of biomass</t>
  </si>
  <si>
    <t>https://www.sciencedirect.com/science/article/pii/S1364032123009486?via%3Dihub#tbl2</t>
  </si>
  <si>
    <t>Predicted  volume of ethanol/ available banana peel (L/ton)</t>
  </si>
  <si>
    <t>https://link.springer.com/article/10.1007/s13399-020-00880-1</t>
  </si>
  <si>
    <r>
      <t>EtOH yield, Y</t>
    </r>
    <r>
      <rPr>
        <sz val="8"/>
        <color theme="1"/>
        <rFont val="Georgia"/>
        <family val="1"/>
      </rPr>
      <t>p/s</t>
    </r>
    <r>
      <rPr>
        <sz val="11"/>
        <color theme="1"/>
        <rFont val="Georgia"/>
        <family val="1"/>
      </rPr>
      <t xml:space="preserve"> ( mg mg−1)</t>
    </r>
  </si>
  <si>
    <t>https://www.sciencedirect.com/science/article/pii/S0964830519306900?via%3Dihub#tbl1</t>
  </si>
  <si>
    <t>0.14-0.43</t>
  </si>
  <si>
    <t>Ethanol product yield on sugar basis (g/g)</t>
  </si>
  <si>
    <t>https://www.sciencedirect.com/science/article/pii/S0956053X11000742?via%3Dihub#t0030</t>
  </si>
  <si>
    <t>0.226-0.378</t>
  </si>
  <si>
    <t>https://link.springer.com/article/10.1007/s12088-007-0057-z</t>
  </si>
  <si>
    <t>potato pulp</t>
  </si>
  <si>
    <t>ethanol g/L</t>
  </si>
  <si>
    <t>https://link.springer.com/article/10.1186/s13068-016-0464-7</t>
  </si>
  <si>
    <t>0.025-0.183</t>
  </si>
  <si>
    <t xml:space="preserve">avrg Ethanol production (mL·g-1 ) </t>
  </si>
  <si>
    <t>https://www.scientific.net/AMR.805-806.281</t>
  </si>
  <si>
    <t>sweet potato</t>
  </si>
  <si>
    <t>0.42-1.02</t>
  </si>
  <si>
    <t>Ethanol production yield (mmol EtOH/g sweet potato)</t>
  </si>
  <si>
    <t>https://www.sciencedirect.com/science/article/pii/S0959652611005683?via%3Dihub#tbl6</t>
  </si>
  <si>
    <t>76.63-84.96</t>
  </si>
  <si>
    <t>Ethanol, final (g/kg)</t>
  </si>
  <si>
    <t>https://iubmb.onlinelibrary.wiley.com/doi/10.1002/bab.1190</t>
  </si>
  <si>
    <t>1.2-38.6</t>
  </si>
  <si>
    <t>https://link.springer.com/article/10.1007/s42452-021-04369-y</t>
  </si>
  <si>
    <t>yield ethanol  / sweet potato</t>
  </si>
  <si>
    <t>https://www.sciencedirect.com/science/article/abs/pii/S0960852412017099?via%3Dihub</t>
  </si>
  <si>
    <t>55.59-90.16</t>
  </si>
  <si>
    <t>Yield  [theoretical production %]</t>
  </si>
  <si>
    <t>https://www.scientific.net/AMR.236-238.59</t>
  </si>
  <si>
    <t>sweet potato pulp</t>
  </si>
  <si>
    <t>41,7-52,5</t>
  </si>
  <si>
    <t>g/L  yield</t>
  </si>
  <si>
    <t>(PDF) Ethanol Production from Winter Hulless Barley (researchgate.net)</t>
  </si>
  <si>
    <t>28,5-30</t>
  </si>
  <si>
    <t>% (w/w)</t>
  </si>
  <si>
    <t>Scopus - Document details - Scale-up of ethanol production from winter barley by the EDGE (enhanced dry grind enzymatic) process in fermentors up to 300 l (uu.nl)</t>
  </si>
  <si>
    <t>0.32-0.4</t>
  </si>
  <si>
    <t xml:space="preserve">g/g of sugar </t>
  </si>
  <si>
    <t>Combined fermentation for increasing efficiency of bioethanol production from Fusarium sp. contaminated barley biomass - ScienceDirect</t>
  </si>
  <si>
    <t>L/ton of barley</t>
  </si>
  <si>
    <t>Bioethanol production from renewable sources_ Current perspectives and technological progress (sciencedirectassets.com)</t>
  </si>
  <si>
    <t>g of ethanol g of barley THEORETICAL</t>
  </si>
  <si>
    <t>spent grains</t>
  </si>
  <si>
    <t>g of ethanol kg of spent grains</t>
  </si>
  <si>
    <t>Evaluation of Fusarium oxysporum as an enzyme factory for the hydrolysis of brewer's spent grain with improved biodegradability for ethanol production - ScienceDirect (uu.nl)</t>
  </si>
  <si>
    <t>L of ethanol/ton of BSG</t>
  </si>
  <si>
    <t>One-pot bioethanol production from brewery spent grain using the ethanologenic Escherichia coli MS04 - ScienceDirect (uu.nl)</t>
  </si>
  <si>
    <t>g in 100 g of BSG</t>
  </si>
  <si>
    <t>Ethanol Production from Brewers’ Spent Grain Pretreated by Dilute Phosphoric Acid | Energy &amp; Fuels (uu.nl)</t>
  </si>
  <si>
    <t>Intensifying ethanol production from brewer’s spent grain waste: Use of whole slurry at high solid loadings - ScienceDirect (uu.nl)</t>
  </si>
  <si>
    <t>Improved ethanol production from the slurry of pretreated brewers’ spent grain through different co-fermentation strategies - ScienceDirect (uu.nl)</t>
  </si>
  <si>
    <t>20.2-36.6</t>
  </si>
  <si>
    <t>g/L Ethanol production</t>
  </si>
  <si>
    <t>Simultaneous saccharification and fermentation of lignocellulosic residues pretreated with phosphoric acid–acetone for bioethanol production</t>
  </si>
  <si>
    <t>https://www.sciencedirect.com/science/article/pii/S0960852409000479?pes=vor#tbl4</t>
  </si>
  <si>
    <r>
      <t xml:space="preserve">Integrated production of cellulosic bioethanol and succinic acid from </t>
    </r>
    <r>
      <rPr>
        <sz val="11"/>
        <color rgb="FFFF0000"/>
        <rFont val="Georgia"/>
        <family val="1"/>
      </rPr>
      <t>rapeseed straw</t>
    </r>
    <r>
      <rPr>
        <sz val="11"/>
        <color rgb="FF1F1F1F"/>
        <rFont val="Georgia"/>
        <family val="1"/>
      </rPr>
      <t xml:space="preserve"> after dilute-acid pretreatment</t>
    </r>
  </si>
  <si>
    <t>https://doi.org/10.1016/j.biortech.2018.05.099</t>
  </si>
  <si>
    <t>rapeseed meal</t>
  </si>
  <si>
    <t>93 - 1.9</t>
  </si>
  <si>
    <t>% furfural yield (moles furfural/moles xylan in corn)</t>
  </si>
  <si>
    <t>https://www.sciencedirect.com/science/article/pii/S0960852417313822</t>
  </si>
  <si>
    <t>73.9 - 22.7</t>
  </si>
  <si>
    <t>% furfural yield (moles furfural/moles xylose in corn)</t>
  </si>
  <si>
    <t>https://www.sciencedirect.com/science/article/pii/S0960852416316182</t>
  </si>
  <si>
    <t>71.2 - 48.26</t>
  </si>
  <si>
    <t>https://www.sciencedirect.com/science/article/pii/S096085241631639X</t>
  </si>
  <si>
    <t>79.6 - 55.6</t>
  </si>
  <si>
    <t>https://www.sciencedirect.com/science/article/pii/S0960852413016866</t>
  </si>
  <si>
    <t>66.2 - 24</t>
  </si>
  <si>
    <t xml:space="preserve">https://www.sciencedirect.com/science/article/pii/S0959652620354561 </t>
  </si>
  <si>
    <t xml:space="preserve"> core-shell sulfonated tin-loaded diatomite catalyst, namely SO42−/CX-DMSn</t>
  </si>
  <si>
    <t>mg furfural / g sugarcane STRAW</t>
  </si>
  <si>
    <t>Furfural production from lignocellulosic biomass by ultrasound-assisted acid hydrolysis - ScienceDirect (wur.nl)</t>
  </si>
  <si>
    <t>Furfural yield (%): % molar yield based on Xylose</t>
  </si>
  <si>
    <t>A review on solvent systems for furfural production from lignocellulosic biomass - ScienceDirect</t>
  </si>
  <si>
    <t>18-53</t>
  </si>
  <si>
    <t xml:space="preserve">UAAH conversion, HNO3 </t>
  </si>
  <si>
    <t>15.7 - 8.5</t>
  </si>
  <si>
    <t>% mass bagasse</t>
  </si>
  <si>
    <t>Furfural production from biomass–derived carbohydrates and lignocellulosic residues via heterogeneous acid catalysts - ScienceDirect</t>
  </si>
  <si>
    <t>ROSENLEW &amp; SHELL</t>
  </si>
  <si>
    <t>https://www.sciencedirect.com/science/article/pii/S1364032120304639#bib61</t>
  </si>
  <si>
    <t>% molar yield based on Xylose</t>
  </si>
  <si>
    <t>Rapid and simultaneous production of furfural and cellulose-rich residue from sugarcane bagasse using a pressurized phosphoric acid-acetone-water system - ScienceDirect</t>
  </si>
  <si>
    <t>Aqueous system production, HUSY catalyst</t>
  </si>
  <si>
    <t>% of hemicellulose in Bagasse</t>
  </si>
  <si>
    <t>Exceptionally high yields of furfural from assorted raw biomass over solid acids - RSC Advances (RSC Publishing)</t>
  </si>
  <si>
    <t>Organic system furfural production, GVL solvent, Al-beta zeolite catalyst</t>
  </si>
  <si>
    <t>https://www.sciencedirect.com/science/article/pii/S0926669017300146</t>
  </si>
  <si>
    <t>Biphasic system, H2O Acetone solvent, H3PO4 catalyst</t>
  </si>
  <si>
    <t>Biphasic system, H2O Toluene, SAPA-44 Catalyst</t>
  </si>
  <si>
    <t>77 - 20</t>
  </si>
  <si>
    <t>g furfural / 1kg dried SBP</t>
  </si>
  <si>
    <t>Comparison of pyrolysis and hydrolysis processes for furfural production from sugar beet pulp: A case study in southern Idaho, USA - ScienceDirect (wur.nl)</t>
  </si>
  <si>
    <t>5.49 -3.48</t>
  </si>
  <si>
    <t>% furfural / SBP</t>
  </si>
  <si>
    <t>Energies | Free Full-Text | Potential of Waste Biomass from the Sugar Industry as a Source of Furfural and Its Derivatives for Use as Fuel Additives in Poland (mdpi.com)</t>
  </si>
  <si>
    <t>Pyrolizer</t>
  </si>
  <si>
    <t>Acid Hydrolysis, 120C, 0.5% H2SO4 increased pressure</t>
  </si>
  <si>
    <t>Furfural yield* of  rice husk dry basis</t>
  </si>
  <si>
    <t>https://doi.org/10.1016/S0960-8524(98)00088-1</t>
  </si>
  <si>
    <t>of theoretical yield</t>
  </si>
  <si>
    <t>https://link.springer.com/article/10.1007/s11814-007-0101-z</t>
  </si>
  <si>
    <t>of the theoretical yield</t>
  </si>
  <si>
    <t>https://link.springer.com/article/10.1007/s13399-020-00810-1</t>
  </si>
  <si>
    <t>Yield based on weight of raw material (%)</t>
  </si>
  <si>
    <t>https://www.sciencedirect.com/science/article/pii/S0008621512002984?via=ihub#t0025</t>
  </si>
  <si>
    <t>https://www.sciencedirect.com/science/article/pii/S0960852498000881</t>
  </si>
  <si>
    <t>30.9 - 10.5</t>
  </si>
  <si>
    <t>% molar yield, based on cellulose in substrate</t>
  </si>
  <si>
    <t>Corn stover valorization by one-step formic acid fractionation and formylation for 5-hydroxymethylfurfural and high guaiacyl lignin production - ScienceDirect</t>
  </si>
  <si>
    <t>% wt yield</t>
  </si>
  <si>
    <t>From corn stover to 5-hydroxymethylfurfural by ball milling-microwave hydrothermal (BM-MHT) | Biomass Conversion and Biorefinery (wur.nl)</t>
  </si>
  <si>
    <t>330 - 100</t>
  </si>
  <si>
    <t>g HMF/ kg corn</t>
  </si>
  <si>
    <t>Lignocellulosic biomass and carbohydrates as feed-stock for scalable production of 5-hydroxymethylfurfural | SpringerLink (wur.nl)</t>
  </si>
  <si>
    <t>https://www.sciencedirect.com/science/article/pii/S0960852419318164</t>
  </si>
  <si>
    <t>https://link.springer.com/article/10.1007/s13399-022-03648-x</t>
  </si>
  <si>
    <t>https://link.springer.com/article/10.1007/s10570-021-03764-3</t>
  </si>
  <si>
    <t>theoretical</t>
  </si>
  <si>
    <t>270-280</t>
  </si>
  <si>
    <t>g HMF/ kg raw potato</t>
  </si>
  <si>
    <t>% yield,  HMF / Sugarcane JUICE</t>
  </si>
  <si>
    <t>Eco‐Friendly Production of 5‐Hydroxymethylfurfural from Sucrose Using Commercially Available Dihydric Phosphate as a Catalyst - Ma - 2018 - ChemistrySelect - Wiley Online Library (wur.nl)</t>
  </si>
  <si>
    <t>10.05 - 3.79</t>
  </si>
  <si>
    <t>% HMF per gram dry bagasse</t>
  </si>
  <si>
    <t>A consolidated bioprocess design to produce multiple high-value platform chemicals from lignocellulosic biomass and its technoeconomic feasibility - ScienceDirect (wur.nl)</t>
  </si>
  <si>
    <t>% molar yield</t>
  </si>
  <si>
    <t>High yield conversion of cellulosic biomass into 5-hydroxymethylfurfural and a study of the reaction kinetics of cellulose to HMF conversion in a biphasic system - Catalysis Science &amp; Technology (RSC Publishing) (wur.nl)</t>
  </si>
  <si>
    <t>MIBK</t>
  </si>
  <si>
    <t>kg HMF / 1 ton Bagasse</t>
  </si>
  <si>
    <t>Chemometric Approach to Quantify 5-Hydroxymethylfurfural and Furfural Obtained from Sugarcane Bagasse and Peanut Hull by UV | SpringerLink (wur.nl)</t>
  </si>
  <si>
    <t>140 - 90</t>
  </si>
  <si>
    <t>g HMF/ kg bagasse</t>
  </si>
  <si>
    <t>12.08 - 3.47</t>
  </si>
  <si>
    <t>%wt</t>
  </si>
  <si>
    <t>Scopus - Document details - Production of furan compounds from sugarcane bagasse using a catalytic system containing ZnCl&lt;sub&gt;2&lt;/sub&gt;/HCl or AlCl&lt;sub&gt;3&lt;/sub&gt;/HCl in a biphasic system | Signed in</t>
  </si>
  <si>
    <t>49.6 - 43.2</t>
  </si>
  <si>
    <t>% theoretical of all sugars in molasses</t>
  </si>
  <si>
    <t>Production of 5-(hydroxymethyl)-furfural from water-soluble carbohydrates and sugarcane molasses - ScienceDirect (wur.nl)</t>
  </si>
  <si>
    <t>93.6-95.7</t>
  </si>
  <si>
    <t>SHMF [mol %]</t>
  </si>
  <si>
    <t>High‐Yield 5‐Hydroxymethylfurfural Synthesis from Crude Sugar Beet Juice in a Biphasic Microreactor - Abdilla‐Santes - 2019 - ChemSusChem - Wiley Online Library (wur.nl)</t>
  </si>
  <si>
    <t>28.5 - 22.6</t>
  </si>
  <si>
    <t>% c HMF /c mono sugar beet juice</t>
  </si>
  <si>
    <t>5-Hydroxy-2-Methylfurfural from Sugar Beet Thick Juice: Kinetic and Modeling Studies | ACS Sustainable Chemistry &amp; Engineering</t>
  </si>
  <si>
    <t>Lewis and Brønsted acids and the use of the THF/NaClaq biphasic system</t>
  </si>
  <si>
    <t>82.5 - 4.5</t>
  </si>
  <si>
    <t>HMF g/ kg SBP</t>
  </si>
  <si>
    <t>Energies | Free Full-Text | Sustainable Production of 5-Hydroxymethylfurfural from Pectin-Free Sugar Beet Pulp in a Simple Aqueous Phase System-Optimization with Doehlert Design (mdpi.com)</t>
  </si>
  <si>
    <t>17.3-35.2</t>
  </si>
  <si>
    <t xml:space="preserve"> yields (mol %)</t>
  </si>
  <si>
    <t>https://pubs.acs.org/doi/10.1021/acssuschemeng.8b05141</t>
  </si>
  <si>
    <t>https://onlinelibrary.wiley.com/doi/10.1002/ente.202000597</t>
  </si>
  <si>
    <t xml:space="preserve"> yields ( wt%)</t>
  </si>
  <si>
    <t>https://www.sciencedirect.com/science/article/pii/S0960852416311233?casa_token=4MKCRwh2jWMAAAAA:PYz3qUZ70Ua7bTGG4fC9Ru3BkctfZX8LzcZVXeU6ndRrygTWFdUvUDtM_LzgeLyrZNh3xFU#m0005</t>
  </si>
  <si>
    <t>8.1-9.5</t>
  </si>
  <si>
    <t xml:space="preserve"> yields (wt %)</t>
  </si>
  <si>
    <t>https://chemistry-europe.onlinelibrary.wiley.com/doi/10.1002/cssc.202101889</t>
  </si>
  <si>
    <t>49-65</t>
  </si>
  <si>
    <t>https://pubs.rsc.org/en/content/articlelanding/2016/cy/c6cy00820h</t>
  </si>
  <si>
    <t xml:space="preserve">theoretical yield g/g </t>
  </si>
  <si>
    <t>37.3-44.5</t>
  </si>
  <si>
    <t>HMF yield % holocellulose</t>
  </si>
  <si>
    <t>https://link.springer.com/article/10.1007/s11696-023-03055-0</t>
  </si>
  <si>
    <t>Yield (%)</t>
  </si>
  <si>
    <t>https://www.sciencedirect.com/science/article/pii/S1226086X14006996?via%3Dihub#tbl0015</t>
  </si>
  <si>
    <t>22.7-71.9</t>
  </si>
  <si>
    <t>Yield HMF (mol%)</t>
  </si>
  <si>
    <t>https://www.sciencedirect.com/science/article/pii/S0960852422011129?via%3Dihub</t>
  </si>
  <si>
    <t>t FDCA / 2000 t Corn Stover</t>
  </si>
  <si>
    <t>Sustainable development of biorefineries: integrated assessment method for co-production pathways - Energy &amp; Environmental Science (RSC Publishing)</t>
  </si>
  <si>
    <t>0.84 - 0.77</t>
  </si>
  <si>
    <t>g succinic acid/ g total sugars in corn</t>
  </si>
  <si>
    <t>Succinic Acid Production from Corn Cob Hydrolysates by Genetically Engineered Corynebacterium glutamicum | SpringerLink (wur.nl)</t>
  </si>
  <si>
    <t>Comparison of hydrothermolysis and mild-alkaline pretreatment methods on enhancing succinic acid production from hydrolyzed corn fiber - ScienceDirect (wur.nl)</t>
  </si>
  <si>
    <t>0.39 - 0.06</t>
  </si>
  <si>
    <t>Succinic acid production from corn stover by simultaneous saccharification and fermentation using Actinobacillus succinogenes - ScienceDirect (wur.nl)</t>
  </si>
  <si>
    <t>Corn cob hydrolysates, oxygen deprivation, additionof sodium carbonate, Corynebacterium glutamicum</t>
  </si>
  <si>
    <t>0.31 - 0.09</t>
  </si>
  <si>
    <t>g succinic acid/g biomass</t>
  </si>
  <si>
    <t>Ionic liquid pretreatment to increase succinic acid production from lignocellulosic biomass - ScienceDirect (wur.nl)</t>
  </si>
  <si>
    <t>Sodium hydroxide corn fiber hydrolysate supplemented only with yeast extract</t>
  </si>
  <si>
    <t>26 - 20</t>
  </si>
  <si>
    <t>% Total sugar</t>
  </si>
  <si>
    <t>Enhanced succinic acid production from corncob hydrolysate by microbial electrolysis cells - ScienceDirect (wur.nl)</t>
  </si>
  <si>
    <t>SSF Actinobacillus succinogenes</t>
  </si>
  <si>
    <t>Corn stover, AmimCl- pretreated</t>
  </si>
  <si>
    <t>Hyrolized corncob, NaOH and CaOH2 pretreatment, Actinobacillus Succinogens NJ113 MECs</t>
  </si>
  <si>
    <t>0.09 - 0.2</t>
  </si>
  <si>
    <t>Yield g/g (estimated from figure)</t>
  </si>
  <si>
    <t>Metabolic engineering of Aspergillus niger via ribonucleoprotein-based CRISPR–Cas9 system for succinic acid production from renewable biomass - ProQuest</t>
  </si>
  <si>
    <t>amount of succinic acid produced from 1 g sugar consumed, and was expressed as a percentage</t>
  </si>
  <si>
    <t>Fermentative production of succinic acid from straw hydrolysate by Actinobacillus succinogenes - ScienceDirect (wur.nl)</t>
  </si>
  <si>
    <t>0.81 - 0.6</t>
  </si>
  <si>
    <t>Yield (g/g glucose)</t>
  </si>
  <si>
    <t>A wheat biorefining strategy based on solid-state fermentation for fermentative production of succinic acid - ScienceDirect (wur.nl)</t>
  </si>
  <si>
    <t>Aspergillus niger via ribonucleoprotein-based CRISPR–Cas9 system</t>
  </si>
  <si>
    <t>Yield g/g (estimated from figure 4)</t>
  </si>
  <si>
    <t>Succinic acid production from orange peel and wheat straw by batch fermentations of Fibrobacter succinogenes S85 | SpringerLink (wur.nl)</t>
  </si>
  <si>
    <t>0.7-1.02</t>
  </si>
  <si>
    <t>g/g glucose equivalent</t>
  </si>
  <si>
    <t>https://www.sciencedirect.com/science/article/pii/S0168165609002533?via%3Dihub#tbl3</t>
  </si>
  <si>
    <t>grams acid formed/grams glucose utilized</t>
  </si>
  <si>
    <t>https://link.springer.com/article/10.1007/s13213-012-0441-8</t>
  </si>
  <si>
    <t xml:space="preserve">Wheat straw, F Succinogenes S85 </t>
  </si>
  <si>
    <t xml:space="preserve">g succinic acid/g glucose equivalent </t>
  </si>
  <si>
    <t>Cereal-based biorefinery development: Utilisation of wheat milling by-products for the production of succinic acid - ScienceDirect (wur.nl)</t>
  </si>
  <si>
    <t>0.76-0.84</t>
  </si>
  <si>
    <t>YP is the yield of product with respect to the initial amount of substrate (S)</t>
  </si>
  <si>
    <t>Succinic acid production by Actinobacillus succinogenes using acid and enzymatic hydrolysates of potato and beer wastes and repeated batch operation</t>
  </si>
  <si>
    <t>SSF Aspergillus</t>
  </si>
  <si>
    <t>https://www.sciencedirect.com/science/article/pii/S0961953423003331?via%3Dihub#tbl6</t>
  </si>
  <si>
    <t>45.77-78.03</t>
  </si>
  <si>
    <t>%, final succinic acid from one gram sugar consumed</t>
  </si>
  <si>
    <t>Economical Succinic Acid Production from Sugarcane Juice by Actinobacillus succinogenes Supplemented with Corn Steep Liquor and Peanut Meal as Nitrogen Sources | SpringerLink (wur.nl)</t>
  </si>
  <si>
    <t>SA g/L</t>
  </si>
  <si>
    <t>Optimization of alkaline-assisted organosolv pretreatment of sugarcane trash for the production of succinic acid using response surface methodology - ScienceDirect (wur.nl)</t>
  </si>
  <si>
    <t>0.5-0.63</t>
  </si>
  <si>
    <t>g succinic acid/ g glucose equivalent in Sugrcane juice</t>
  </si>
  <si>
    <t>An end-to-end pipeline for succinic acid production at an industrially relevant scale using Issatchenkia orientalis</t>
  </si>
  <si>
    <t>https://link.springer.com/article/10.1007/s12355-015-0401-2</t>
  </si>
  <si>
    <t>9.2-84.5</t>
  </si>
  <si>
    <t>Ultrasonic pretreatment and acid hydrolysis of sugarcane bagasse for succinic acid production using Actinobacillus succinogenes | Bioprocess and Biosystems Engineering (wur.nl)</t>
  </si>
  <si>
    <t>https://www.sciencedirect.com/science/article/pii/S1878818122001013?casa_token=lcsD2luuiMoAAAAA:vlJMbzQYVmhyG1HUNkeo1C9N4gNYO4MbU_P2YawXe8_OKkZukWqS8vICy9SNTzMjSgHqZwk#sec3</t>
  </si>
  <si>
    <t>0.35-0.43</t>
  </si>
  <si>
    <t>%, final succinic acid (g) from one gram xylose consumed</t>
  </si>
  <si>
    <t>Succinic acid production from sugarcane bagasse hemicellulose hydrolysate by Actinobacillus succinogenes | Journal of Industrial Microbiology &amp; Biotechnology (wur.nl)</t>
  </si>
  <si>
    <t>https://www.nature.com/articles/s41467-023-41616-9#Tab1</t>
  </si>
  <si>
    <t>g succinic acid / g total sugar</t>
  </si>
  <si>
    <t>Characterization of a β-glucosidase from Paenibacillus species and its application for succinic acid production from sugarcane bagasse hydrolysate - ScienceDirect (wur.nl)</t>
  </si>
  <si>
    <t>https://www.scopus.com/results/results.uri?sort=r-f&amp;src=s&amp;st1=%28%22potato%22+OR+%22whole+potato%22%29+AND+%28%22levulinic+acid+production%22%29&amp;sid=929323648778dd3fbe85ba53d6a23433&amp;sot=b&amp;sdt=b&amp;sl=77&amp;s=TITLE-ABS-KEY%28%28%22bagasse%22%29+AND+%28%22succinic+acid+production%22%29%29&amp;origin=searchbasic&amp;editSaveSearch=&amp;yearFrom=Before+1960&amp;yearTo=Present&amp;sessionSearchId=929323648778dd3fbe85ba53d6a23433&amp;limit=10</t>
  </si>
  <si>
    <t>0.46-0.66</t>
  </si>
  <si>
    <t>Efficient succinic acid production from lignocellulosic biomass by simultaneous utilization of glucose and xylose in engineered Escherichia coli - ScienceDirect (wur.nl)</t>
  </si>
  <si>
    <t>https://academic.oup.com/jimb/article/38/8/1001/5994396</t>
  </si>
  <si>
    <t>abnormal value</t>
  </si>
  <si>
    <t>% g/g tot sugars</t>
  </si>
  <si>
    <t>Succinic acid production from cellobiose by Actinobacillus succinogenes</t>
  </si>
  <si>
    <t>https://www.sciencedirect.com/science/article/pii/S096085241730809X?casa_token=bLKGiNWU0BMAAAAA:QJa_ZpGXFvDGvSth9KHLNquMjPW-13VIhm8DOvEqyi5bopp3JkRAuEhkD1-1U4riEtP3Lwg</t>
  </si>
  <si>
    <t>0.34-0.96</t>
  </si>
  <si>
    <t>g SUCCINATE / g sugar consumed in molasses</t>
  </si>
  <si>
    <t>Production of succinic acid from sucrose and sugarcane molasses by metabolically engineered Escherichia coli - ScienceDirect (wur.nl)</t>
  </si>
  <si>
    <t>https://www.sciencedirect.com/science/article/pii/S0960852413014831?casa_token=P13LkwXWp-YAAAAA:XkFECrqCkYh4WfnPql-Xa_X8BUrJCgMOcgm-QUWn-npMdfX2RN596xT1q98FyPeRAxQXWBo</t>
  </si>
  <si>
    <t>mol succinic acid/ mol hexose</t>
  </si>
  <si>
    <t>Succinic acid production from sucrose and molasses by metabolically engineered E. coli using a cell surface display system - ScienceDirect (wur.nl)</t>
  </si>
  <si>
    <t>https://www.sciencedirect.com/science/article/pii/S0960852412015210?casa_token=4jsm4Bw_dosAAAAA:0wNVsgfeB2TW7rtOZmGULsRXcl6b1jDKk-7ooQu9UQfCp1j6_4hlLcVXko-qUFyfKjdZdWE#t0015</t>
  </si>
  <si>
    <t>https://www.sciencedirect.com/science/article/pii/S0960852411013848?casa_token=24Py_gt2_bgAAAAA:SYA1hM30BO6HFD-bCHt6kBOJcmCiXB0lI5eUU4KDzcg1ROG2d1U-ErPZX4BLZIHBnfMMOh4</t>
  </si>
  <si>
    <t>0.62-0.8</t>
  </si>
  <si>
    <t>SA yield (g/g)</t>
  </si>
  <si>
    <t>Restructuring the Conventional Sugar Beet Industry into a Novel Biorefinery: Fractionation and Bioconversion of Sugar Beet Pulp into Succinic Acid and Value-Added Coproducts | ACS Sustainable Chemistry &amp; Engineering (wur.nl)</t>
  </si>
  <si>
    <t>https://www.sciencedirect.com/science/article/pii/S1369703X14002319?casa_token=B_222GSyp9IAAAAA:ZGvgnWAdT6ozgL0TOD2O1_hCpjJlhbd0dVQdmjJVq9XWRRbwwkNEDLFlyZNgLZKzZNU1Yqk#tbl0020</t>
  </si>
  <si>
    <t>0.17-0.18</t>
  </si>
  <si>
    <t>g/ g glucose in Molasses</t>
  </si>
  <si>
    <t>Metabolic engineering of Aspergillus niger via ribonucleoprotein-based CRISPR–Cas9 system for succinic acid production from renewable biomass | Biotechnology for Biofuels and Bioproducts | Full Text (biomedcentral.com)</t>
  </si>
  <si>
    <t>SBP Hydrolysate, A. succinogens</t>
  </si>
  <si>
    <t>https://pubs.acs.org/doi/10.1021/acssuschemeng.8b04874?src=getftr</t>
  </si>
  <si>
    <t>https://www.researchgate.net/figure/Total-solids-and-volatile-solids-of-sugar-beet-pulp-in-air-dried-sample_tbl1_366888237</t>
  </si>
  <si>
    <t>yield g SA/g rice husk</t>
  </si>
  <si>
    <t>https://www.sciencedirect.com/science/article/pii/S2352554115300073?via%3Dihub</t>
  </si>
  <si>
    <t>at 35C, A. Niger</t>
  </si>
  <si>
    <t>https://link.springer.com/article/10.1186/s13068-020-01850-5</t>
  </si>
  <si>
    <t>Yield on  orange peel g/g</t>
  </si>
  <si>
    <t>https://link.springer.com/article/10.1007/s00253-010-2726-9</t>
  </si>
  <si>
    <t>SA production g/L</t>
  </si>
  <si>
    <t>https://arccjournals.com/journal/indian-journal-of-agricultural-research/AF-764</t>
  </si>
  <si>
    <t>0.62-0.73</t>
  </si>
  <si>
    <t>Yield (gsa gtsc−1)</t>
  </si>
  <si>
    <t>https://www.sciencedirect.com/science/article/pii/S0956053X20303305#t0010</t>
  </si>
  <si>
    <t>https://www.sciencedirect.com/science/article/pii/S0959652617317560</t>
  </si>
  <si>
    <t>(w/w)</t>
  </si>
  <si>
    <t>Simultaneous saccharification and fermentation of acid-pretreated rapeseed meal for succinic acid production using Actinobacillus succinogenes - ScienceDirect (uu.nl)</t>
  </si>
  <si>
    <t>g/100 g dry matter</t>
  </si>
  <si>
    <t>Simultaneous saccharification and fermentation of acid-pretreated rapeseed meal for succinic acid production using Actinobacillus succinogenes</t>
  </si>
  <si>
    <t>https://doi.org/10.1016/j.enzmictec.2010.12.009</t>
  </si>
  <si>
    <t>0.09-0.48</t>
  </si>
  <si>
    <t>mol 3HP / mol sugars</t>
  </si>
  <si>
    <t>Metabolic engineering to improve production of 3-hydroxypropionic acid from corn-stover hydrolysate in Aspergillus species – DOAJ</t>
  </si>
  <si>
    <t>DDR-EH-150, A. Niger</t>
  </si>
  <si>
    <t>33.63-45.45</t>
  </si>
  <si>
    <t>yield%, amount LA/theoretical max from glucan (0.716x)</t>
  </si>
  <si>
    <t>Kinetic study of levulinic acid production from corn stalk at relatively high temperature using FeCl3 as catalyst: A simplified model evaluated - ScienceDirect (wur.nl)</t>
  </si>
  <si>
    <t>0.63-19.9</t>
  </si>
  <si>
    <t>% wt</t>
  </si>
  <si>
    <t>Development of bioprocess for corncob-derived levulinic acid production - ScienceDirect (wur.nl)</t>
  </si>
  <si>
    <t>22.86-63.63</t>
  </si>
  <si>
    <t>mol% LA/fructose</t>
  </si>
  <si>
    <t>High concentration levulinic acid production from corn stover - RSC Advances (RSC Publishing) (wur.nl)</t>
  </si>
  <si>
    <t>230 °C, 10 min and 0.5 mol/L FeCl3.</t>
  </si>
  <si>
    <t>https://www.sciencedirect.com/science/article/pii/S092666901530282X?via%3Dihub</t>
  </si>
  <si>
    <t>4.4-69.1</t>
  </si>
  <si>
    <t>% LA*0.9/ from glucan in corn cobs</t>
  </si>
  <si>
    <t>Kinetics study of levulinic acid production from corncobs by tin tetrachloride as catalyst - ScienceDirect (wur.nl)</t>
  </si>
  <si>
    <t>80 ℃, 10 % corncob, 1.0 M sulfuric acid and 30 min.</t>
  </si>
  <si>
    <t>https://www.sciencedirect.com/science/article/pii/S0960852423000548?via%3Dihu</t>
  </si>
  <si>
    <t>9.24-47.1</t>
  </si>
  <si>
    <t>mol % LA/glucan</t>
  </si>
  <si>
    <t>Kinetic study of levulinic acid production from corn stalk at mild temperature using FeCl3 as catalyst</t>
  </si>
  <si>
    <t>SIRE and BE hydrolysate from corn stover</t>
  </si>
  <si>
    <t>https://pubs.rsc.org/en/content/articlelanding/2016/ra/c6ra23768a</t>
  </si>
  <si>
    <t>193 °C, 17 min with 82 mM SnCl4 catalyzed hydrolysis of corn cobs</t>
  </si>
  <si>
    <t>https://www.sciencedirect.com/science/article/pii/S0960852418304243?via%3Dihub</t>
  </si>
  <si>
    <t>https://www.sciencedirect.com/science/article/pii/S0016236116308754?via%3Dihub#t0015</t>
  </si>
  <si>
    <t>%, g LA/ g wheat STRAW</t>
  </si>
  <si>
    <t>Levulinic acid production from wheat straw - ScienceDirect (wur.nl)</t>
  </si>
  <si>
    <t>19.3-21.7</t>
  </si>
  <si>
    <t>yield (wt%)</t>
  </si>
  <si>
    <t>LEVULINIC ACID PRODUCTION FROM WASTE BIOMASS | Raspolli Galletti | BioResources (ncsu.edu)</t>
  </si>
  <si>
    <t>209.3 °C, 3.5% acid concentration, 15.6 liquid:solid ratio and 37.6 min of reaction time </t>
  </si>
  <si>
    <t>https://www.researchgate.net/publication/258993284_Levulinic_Acid_Production_from_waste_biomass</t>
  </si>
  <si>
    <t>% wt biomass SCB</t>
  </si>
  <si>
    <t>A kinetic study of acid catalysed hydrolysis of sugarcane bagasse to levulinic acid - ScienceDirect (wur.nl)</t>
  </si>
  <si>
    <t>Levulinic acid production from Cicer arietinum, cotton, Pinus radiata and sugarcane bagasse - RSC Advances (RSC Publishing) (wur.nl)</t>
  </si>
  <si>
    <r>
      <t>Heterogeneous Catalyst1g cellulose: 0.8430 g catalyst: 8 mL H</t>
    </r>
    <r>
      <rPr>
        <sz val="8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</si>
  <si>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t>LA yield wt%</t>
  </si>
  <si>
    <t>Optimization of Levulinic Acid Production from Depithed Sugarcane Bagasse in 1- Ethyl-3-methylimidazolium hydrogen sulfate [EMim][HSO4] | Waste and Biomass Valorization (wur.nl)</t>
  </si>
  <si>
    <t>Hydrothermal reactor, 150 °C, 6 h, stainless steel floor stand reactor, H2SO4 (0.55 M)</t>
  </si>
  <si>
    <t>https://www.sciencedirect.com/science/article/pii/S1385894712015884</t>
  </si>
  <si>
    <t>Production of Levulinic Acid from Bagasse and Paddy Straw by Liquefaction in the Presence of Hydrochloride Acid - Yan - 2008 - CLEAN – Soil, Air, Water - Wiley Online Library (wur.nl)</t>
  </si>
  <si>
    <t>https://pubs.rsc.org/en/content/articlehtml/2014/ra/c4ra06246a</t>
  </si>
  <si>
    <t>%mol</t>
  </si>
  <si>
    <t>Kinetic insights into the lignocellulosic biomass-based levulinic acid production by a mechanistic model | Cellulose (wur.nl)</t>
  </si>
  <si>
    <t xml:space="preserve"> 1-ethyl-3-methylimidazolium hydrogen sulfate [EMim][HSO4] ionic liquid (IL) were investigated.</t>
  </si>
  <si>
    <t>https://link.springer.com/article/10.1007/s12649-020-01221-z</t>
  </si>
  <si>
    <t>18.1-36.5</t>
  </si>
  <si>
    <t>% wt Molasses</t>
  </si>
  <si>
    <t>Concentrated Levulinic Acid Production from sugarcane Molasses | Energy &amp; Fuels (wur.nl)</t>
  </si>
  <si>
    <t>https://link.springer.com/article/10.1007/s10570-020-03183-w</t>
  </si>
  <si>
    <t>https://pubs.acs.org/doi/full/10.1021/acs.energyfuels.7b03987</t>
  </si>
  <si>
    <t>0-87.4</t>
  </si>
  <si>
    <t>%mol., LA/sucrose</t>
  </si>
  <si>
    <t>Maintenance of a Highly Active Solid Acid Catalyst in Sugar Beet Molasses for Levulinic Acid Production | Sugar Tech (springer.com)</t>
  </si>
  <si>
    <t>LA/ dry rice husk (g/g)</t>
  </si>
  <si>
    <t>https://www.sciencedirect.com/science/article/pii/S1359511317315532?via%3Dihub</t>
  </si>
  <si>
    <t> acidified working molasses solution (pH 1.65) at 140 °C for 3 h. </t>
  </si>
  <si>
    <t>14.02-39.75</t>
  </si>
  <si>
    <t>yield (wt %)</t>
  </si>
  <si>
    <t>https://www.mdpi.com/2073-4344/10/3/327</t>
  </si>
  <si>
    <t>62.3-66.05</t>
  </si>
  <si>
    <t>Yield (% mol)</t>
  </si>
  <si>
    <t>https://www.sciencedirect.com/science/article/pii/S2214785323006041?via%3Dihub#s0010</t>
  </si>
  <si>
    <t>28.8-65.2</t>
  </si>
  <si>
    <t>LA yield from ISRRH (mol% )</t>
  </si>
  <si>
    <t xml:space="preserve"> kg LA/ 1 ton fresh OPW</t>
  </si>
  <si>
    <t>https://onlinelibrary.wiley.com/doi/full/10.1002/bbb.2498</t>
  </si>
  <si>
    <t>LA yield (wt%)</t>
  </si>
  <si>
    <t>https://analyticalsciencejournals.onlinelibrary.wiley.com/doi/epdf/10.1002/jctb.6484</t>
  </si>
  <si>
    <t>0.54-0.7</t>
  </si>
  <si>
    <t>yield on substrate (g/g)</t>
  </si>
  <si>
    <t>Lactic acid production from corn stover using mixed cultures of Lactobacillus rhamnosus and Lactobacillus brevis</t>
  </si>
  <si>
    <t>0.396-0.78</t>
  </si>
  <si>
    <t>g LA/g corn stover</t>
  </si>
  <si>
    <t>Bioconversion of Corn Crop Residues: Lactic Acid Production through Simultaneous Saccharification and Fermentation</t>
  </si>
  <si>
    <t>0.54-0.77</t>
  </si>
  <si>
    <t>g LA/g corn cob</t>
  </si>
  <si>
    <t>https://linkinghub.elsevier.com/retrieve/pii/S0960852410015762</t>
  </si>
  <si>
    <t>g acid per kg of mashed corn</t>
  </si>
  <si>
    <t>https://www.mdpi.com/2071-1050/14/19/11799</t>
  </si>
  <si>
    <t>REF number, table 1 to see pretreatment</t>
  </si>
  <si>
    <t>https://www.mdpi.com/2071-1050/14/19/11800</t>
  </si>
  <si>
    <t>0.51-0.9</t>
  </si>
  <si>
    <t>of the theoretical maximum yield</t>
  </si>
  <si>
    <t>https://www.sciencedirect.com/science/article/pii/S0960852401001353</t>
  </si>
  <si>
    <t>0.33-1.01</t>
  </si>
  <si>
    <t xml:space="preserve">mol LA/ mol glucose </t>
  </si>
  <si>
    <t>Kinetic modeling of hydrogen and L-lactic acid production by Thermotoga neapolitana via capnophilic lactic fermentation of starch - ScienceDirect (wur.nl)</t>
  </si>
  <si>
    <t>72.36%-76.44%</t>
  </si>
  <si>
    <t>(PDF) Evolutionary Adaptation of Bacillus subtilis OCS SH-2 in Wheat Straw Hydrolysate for Bioethanol and Lactic Acid Production (researchgate.net)</t>
  </si>
  <si>
    <t>Research from 2000, so old asf</t>
  </si>
  <si>
    <t>0.55-0.91</t>
  </si>
  <si>
    <t>g LA/ g raw material</t>
  </si>
  <si>
    <t>An economic evaluation of the fermentative production of lactic acid from wheat flour</t>
  </si>
  <si>
    <t>g LA/g bran</t>
  </si>
  <si>
    <t>(PDF) Wheat bran an inexpensive substrate for production of Lactic acid in solid state fermentation by Lactobacillus amylophilus GV6 - Optimization of fermentation conditions (researchgate.net)</t>
  </si>
  <si>
    <t>https://pu.edu.pk/images/journal/zology/PDF-FILES/7_36_1_21.pdf</t>
  </si>
  <si>
    <t>0.85-0.95</t>
  </si>
  <si>
    <t>g LA/g glucose consumed</t>
  </si>
  <si>
    <t>Fermentative production of l-lactic acid from hydrolysate of wheat bran by Lactobacillus rhamnosus - ScienceDirect (wur.nl)</t>
  </si>
  <si>
    <t>https://www.sciencedirect.com/science/article/pii/S0960852400000572?via%3Dihub</t>
  </si>
  <si>
    <t>g LA/ 100 g wheat bran</t>
  </si>
  <si>
    <t>Direct fermentation of starch to L(+) lactic acid in SSF by Lactobacillus amylophilus GV6 using wheat bran as support and substrate: Medium optimization using RSM</t>
  </si>
  <si>
    <t>Single step fermentation of starch to l(+) lactic acid by Lactobacillus amylophilus GV6 in SSF using inexpensive nitrogen sources to replace peptone and yeast extract – Optimization by RSM - ScienceDirect (wur.nl)</t>
  </si>
  <si>
    <t>https://www.sciencedirect.com/science/article/pii/S1369703X09003118#tbl3</t>
  </si>
  <si>
    <t>https://www.sciencedirect.com/science/article/pii/S1369703X04000920?via%3Dihub#TBL1</t>
  </si>
  <si>
    <t>https://www.sciencedirect.com/science/article/pii/S0032959204000834</t>
  </si>
  <si>
    <t>https://www.sciencedirect.com/science/article/pii/S1359511305003181#tbl3</t>
  </si>
  <si>
    <t>g LA/g leftover bits and pieces of potato starch</t>
  </si>
  <si>
    <t>Optically pure L-lactic acid production directly from leftover bits and pieces of potato starch using an amylolytic pellet-form complex Rhizopus oryzae ASC081</t>
  </si>
  <si>
    <t>Effect of different carbon sources on l(+) -lactic acid production by Rhizopus oryzae</t>
  </si>
  <si>
    <t>0.88 ± 0.39</t>
  </si>
  <si>
    <t>Yield (potato starch) ( mol lactic acid/mol glucose eq.)</t>
  </si>
  <si>
    <t>Kinetic modeling of hydrogen and L-lactic acid production by Thermotoga neapolitana via capnophilic lactic fermentation of starch</t>
  </si>
  <si>
    <t>g/L LA from potato waste eq to 100g/L glucose</t>
  </si>
  <si>
    <t>Enhancement of l(+)-lactic acid production using acid-adapted precultures of Rhizopus arrhizus in a bubble column reactor</t>
  </si>
  <si>
    <t>http://jase.tku.edu.tw/articles/jase-201306-16-2-12</t>
  </si>
  <si>
    <t>0.87-0.97</t>
  </si>
  <si>
    <t>g LA/g Starch in potato starch</t>
  </si>
  <si>
    <t>Direct fermentation of potato starch wastewater to lactic acid by Rhizopus oryzae and Rhizopus arrhizus</t>
  </si>
  <si>
    <t>https://www.sciencedirect.com/science/article/pii/S0960852421004661?via%3Dihub</t>
  </si>
  <si>
    <t> g/L lactic acid</t>
  </si>
  <si>
    <t>Effects of cultivation parameters on the morphology of Rhizopus arrhizus and the lactic acid production in a bubble column reactor</t>
  </si>
  <si>
    <t>https://www.sciencedirect.com/science/article/pii/S138917230900200X?via%3Dihub</t>
  </si>
  <si>
    <t>https://link.springer.com/article/10.1007/s00449-005-0398-0</t>
  </si>
  <si>
    <t>% c LA/c tot carbohydrates in TP</t>
  </si>
  <si>
    <t>Fermentation as a Strategy for Bio-Transforming Waste into Resources: Lactic Acid Production from Agri-Food Residues</t>
  </si>
  <si>
    <t>https://analyticalsciencejournals.onlinelibrary.wiley.com/doi/10.1002/elsc.200700002</t>
  </si>
  <si>
    <t>0.19-1.69</t>
  </si>
  <si>
    <t>% g LA/ g TS in TP</t>
  </si>
  <si>
    <t xml:space="preserve">Lactic Acid production from Tomato Pomace Fermentable 
Sugars using Innovative Biological Treatments </t>
  </si>
  <si>
    <t>92.98-96</t>
  </si>
  <si>
    <t>% c LA/c total sugars</t>
  </si>
  <si>
    <t>Fermentative lactic acid production from a renewable carbon source under response surface optimized conditions without alkali addition: a membrane-based green approach</t>
  </si>
  <si>
    <t>https://mdpi.com/2311-5637/7/1/3</t>
  </si>
  <si>
    <t>g LA/g sucrose</t>
  </si>
  <si>
    <t>Kinetic of lactic acid production from sugarcane juice using Lactobacillus plantarum NCIM 2912 - Sikder - 2014 - Asia-Pacific Journal of Chemical Engineering - Wiley Online Library (wur.nl)</t>
  </si>
  <si>
    <t>https://www.aidic.it/cet/18/65/100.pdf</t>
  </si>
  <si>
    <t>90-96</t>
  </si>
  <si>
    <t>% c LA/c tot sugars</t>
  </si>
  <si>
    <t>Lactic acid production from sugar-cane juice by a newly isolated Lactobacillus sp. | SpringerLink (wur.nl)</t>
  </si>
  <si>
    <t>https://link.springer.com/article/10.1007/s10098-011-0448-z</t>
  </si>
  <si>
    <t>0.92-0.96</t>
  </si>
  <si>
    <t>g LA/g tot sugars</t>
  </si>
  <si>
    <t>Modelling and simulation of continuous L (+) lactic acid production from sugarcane juice in membrane integrated hybrid-reactor system - ScienceDirect (wur.nl)</t>
  </si>
  <si>
    <t>https://onlinelibrary.wiley.com/doi/full/10.1002/apj.1806</t>
  </si>
  <si>
    <t>g LA/g sugars consumed, sugarcane waste</t>
  </si>
  <si>
    <t>Lactic acid production from sugarcane field residue as renewable and economical bioresource by newly isolated Pediococcus pentosaceus HLV1 | SpringerLink (wur.nl)</t>
  </si>
  <si>
    <t>gLA/g sugar utilized</t>
  </si>
  <si>
    <t>Acid hydrolysis of sugarcane bagasse for lactic acid production - ScienceDirect (wur.nl)</t>
  </si>
  <si>
    <t>g LA/g dry bagasse</t>
  </si>
  <si>
    <t>Enhanced cellulosic d-lactic acid production from sugarcane bagasse by pre-fermentation of water-soluble carbohydrates before acid pretreatment - ScienceDirect (wur.nl)</t>
  </si>
  <si>
    <t>https://link.springer.com/article/10.1007/s13399-022-03267-6</t>
  </si>
  <si>
    <t>g LA/g total sugars in bagasse</t>
  </si>
  <si>
    <t>Polymer grade l-lactic acid production from sugarcane bagasse hemicellulosic hydrolysate using Bacillus coagulans - ScienceDirect (wur.nl)</t>
  </si>
  <si>
    <t>https://www.sciencedirect.com/science/article/pii/S0960852409011584</t>
  </si>
  <si>
    <t>8.78-26.16</t>
  </si>
  <si>
    <t>g LA/g sugarcane bagasse</t>
  </si>
  <si>
    <t>Assessment of multiple pretreatment strategies for 2G L-lactic acid production from sugarcane bagasse | SpringerLink (wur.nl)</t>
  </si>
  <si>
    <t>https://www.sciencedirect.com/science/article/pii/S0960852422016571</t>
  </si>
  <si>
    <t>g LA/g glucose and xylose</t>
  </si>
  <si>
    <t>Lactic acid production from sugarcane bagasse hydrolysates by Lactobacillus pentosus: Integrating xylose and glucose fermentation - Wischral - 2019 - Biotechnology Progress - Wiley Online Library (wur.nl)</t>
  </si>
  <si>
    <t>https://www.sciencedirect.com/science/article/pii/S2589014X1930026X</t>
  </si>
  <si>
    <t>%, w/w LA/tot sugar</t>
  </si>
  <si>
    <t>Different Strategies To Improve Lactic Acid Productivity Based on Microorganism Physiology and Optimum Operating Conditions | Industrial &amp; Engineering Chemistry Research (wur.nl)</t>
  </si>
  <si>
    <t>https://link.springer.com/article/10.1007/s13399-020-01163-5</t>
  </si>
  <si>
    <t>Optimization of lactic acid production from cheap raw material: Sugarcane molasses</t>
  </si>
  <si>
    <t>https://aiche.onlinelibrary.wiley.com/doi/full/10.1002/btpr.2718</t>
  </si>
  <si>
    <t>g LA/ g tot sugars</t>
  </si>
  <si>
    <t>Optimization of lactic acid production by Lactobacillus plantarum strain Hui1 in a medium containing sugarcane molasses - ProQuest</t>
  </si>
  <si>
    <t>https://pubs.acs.org/doi/full/10.1021/acs.iecr.8b01655</t>
  </si>
  <si>
    <t>g LA/g sugars</t>
  </si>
  <si>
    <t>Improvement and Metabolomics-Based Analysis of d-Lactic Acid Production from Agro-Industrial Wastes by Lactobacillus delbrueckii Submitted to Adaptive Laboratory Evolution | Journal of Agricultural and Food Chemistry (wur.nl)</t>
  </si>
  <si>
    <t>https://pakbs.org/pjbot/PDFs/44(1)/49.pdf</t>
  </si>
  <si>
    <t>g/g hexose</t>
  </si>
  <si>
    <t>Efficient production of lactic acid from sugarcane molasses by a newly microbial consortium CEE-DL15 - ScienceDirect (wur.nl)</t>
  </si>
  <si>
    <t>https://www.redalyc.org/journal/1803/180376043012/html/</t>
  </si>
  <si>
    <t>https://pubs.acs.org/doi/full/10.1021/acs.jafc.0c00259</t>
  </si>
  <si>
    <t>0.09-0.17</t>
  </si>
  <si>
    <t>g LA/g exhausted sbp</t>
  </si>
  <si>
    <t>Feasibility of exhausted sugar beet pulp as raw material for lactic acid production - Díaz - 2020 - Journal of the Science of Food and Agriculture - Wiley Online Library (wur.nl)</t>
  </si>
  <si>
    <t>https://www.sciencedirect.com/science/article/pii/S1359511318316404</t>
  </si>
  <si>
    <t>0.582-0.922</t>
  </si>
  <si>
    <t>Y (lactic acid/glucose) (mol mol−1)</t>
  </si>
  <si>
    <t>Valorisation of fungal hydrolysates of exhausted sugar beet pulp for lactic acid production</t>
  </si>
  <si>
    <t>50(370.85)</t>
  </si>
  <si>
    <t>max plant capacity (min feedstock requirements) kt/year</t>
  </si>
  <si>
    <t>https://www.sciencedirect.com/science/article/pii/S0048969721056722#t0005</t>
  </si>
  <si>
    <t>https://onlinelibrary.wiley.com/doi/10.1002/jsfa.10334</t>
  </si>
  <si>
    <t>0.85- 0.91</t>
  </si>
  <si>
    <t>Lactic acid production on a combined distillery stillage and sugar beet molasses substrate - Mladenović - 2016 - Journal of Chemical Technology &amp; Biotechnology - Wiley Online Library (wur.nl)</t>
  </si>
  <si>
    <t>https://onlinelibrary.wiley.com/doi/10.1002/jsfa.11046</t>
  </si>
  <si>
    <t>Optimization of lactic acid production from beet molasses by Lactobacillus delbrueckii NCIMB 8130 - ProQuest</t>
  </si>
  <si>
    <t>Techno-economic risk assessment, life cycle analysis and life cycle costing for poly(butylene succinate) and poly(lactic acid) production using renewable resources</t>
  </si>
  <si>
    <t>g LA/g initial sugars</t>
  </si>
  <si>
    <t>Optimisation of lactic acid fermentation from beet molasses by strain FD173</t>
  </si>
  <si>
    <t>https://analyticalsciencejournals.onlinelibrary.wiley.com/doi/full/10.1002/jctb.4838</t>
  </si>
  <si>
    <t>0.81-0.97</t>
  </si>
  <si>
    <t>g LA/g sugar</t>
  </si>
  <si>
    <t>Subsequent improvement of lactic acid production from beet molasses by Enterococcus hirae ds10 using different fermentation strategies</t>
  </si>
  <si>
    <t>https://link.springer.com/article/10.1023/A:1015523126741</t>
  </si>
  <si>
    <t>g LA/g molasses</t>
  </si>
  <si>
    <t>https://sci-hub.se/https://doi.org/10.1504/IJEP.2009.026655</t>
  </si>
  <si>
    <t>https://www.sciencedirect.com/science/article/pii/S2589014X20302395#t0010</t>
  </si>
  <si>
    <t>0.49-6.71</t>
  </si>
  <si>
    <t>https://analyticalsciencejournals.onlinelibrary.wiley.com/doi/full/10.1002/jctb.1797</t>
  </si>
  <si>
    <t>https://www.sciencedirect.com/science/article/pii/S1369703X04000920?pes=vor#TBL1</t>
  </si>
  <si>
    <t>yield g/100g RH</t>
  </si>
  <si>
    <t>https://www.sciencedirect.com/science/article/pii/S0141813023060531</t>
  </si>
  <si>
    <t>η (lactic acid) lactic acid produced/sugar consumed (g/g).</t>
  </si>
  <si>
    <t>https://www.hindawi.com/journals/bmri/2013/934171/#conclusions</t>
  </si>
  <si>
    <t>LA conversion rate (%)</t>
  </si>
  <si>
    <t>https://link.springer.com/article/10.1007/s00449-021-02591-x</t>
  </si>
  <si>
    <t>YLA/S (g g−1)</t>
  </si>
  <si>
    <t>https://link.springer.com/article/10.1007/s10570-019-02571-1</t>
  </si>
  <si>
    <t>80.21-97.2</t>
  </si>
  <si>
    <t>Lactate yield on glucose%</t>
  </si>
  <si>
    <t>https://pubs.rsc.org/en/content/articlelanding/2014/ra/c3ra46140h</t>
  </si>
  <si>
    <t>Yield %</t>
  </si>
  <si>
    <t>https://www.sciencedirect.com/science/article/pii/S0960852407005731?via%3Dihub</t>
  </si>
  <si>
    <t>https://www.sciencedirect.com/science/article/pii/S1389172312004525?via%3Dihub</t>
  </si>
  <si>
    <t>71-98</t>
  </si>
  <si>
    <t>Yield of product%</t>
  </si>
  <si>
    <t>https://www.sciencedirect.com/science/article/pii/S096085241501278X?via%3Dihub#t0005</t>
  </si>
  <si>
    <t xml:space="preserve">  average yield (g g−1)</t>
  </si>
  <si>
    <t>https://pubs.rsc.org/en/content/articlelanding/2015/ra/c4ra04641b</t>
  </si>
  <si>
    <t>34.1-62.7</t>
  </si>
  <si>
    <t>Lactic acid production yield (g/100 g)</t>
  </si>
  <si>
    <t>https://www.sciencedirect.com/science/article/pii/S0023643806000326?via%3Dihub#tbl4</t>
  </si>
  <si>
    <t>30.2-65.8</t>
  </si>
  <si>
    <t>Lactic acid production yield (g/100 g)</t>
  </si>
  <si>
    <t>https://www.sciencedirect.com/science/article/pii/S0032959204000500</t>
  </si>
  <si>
    <t>g/g VSfeedstock</t>
  </si>
  <si>
    <t>https://www.sciencedirect.com/science/article/pii/S096085242031511X?via%3Dihub#t0015</t>
  </si>
  <si>
    <t>yield g/100 g Dry AP</t>
  </si>
  <si>
    <t>https://analyticalsciencejournals.onlinelibrary.wiley.com/doi/10.1002/jctb.1838</t>
  </si>
  <si>
    <t>https://www.sciencedirect.com/science/article/pii/S0960852407000119?via%3Dihub</t>
  </si>
  <si>
    <t>https://pubs.acs.org/doi/10.1021/jf070442v</t>
  </si>
  <si>
    <t>59.4-87.3</t>
  </si>
  <si>
    <t xml:space="preserve"> yield %</t>
  </si>
  <si>
    <t>https://www.sciencedirect.com/science/article/pii/S1369703X1930052X?via%3Dihub#tbl0005</t>
  </si>
  <si>
    <t>yield  (g g−1)</t>
  </si>
  <si>
    <t>https://onlinelibrary.wiley.com/doi/epdf/10.1002/jsfa.9958</t>
  </si>
  <si>
    <t>34.58-39.807</t>
  </si>
  <si>
    <t>https://onlinelibrary.wiley.com/doi/10.1002/jsfa.12537</t>
  </si>
  <si>
    <t>0.75-0.88</t>
  </si>
  <si>
    <t>YP,S (g/g)</t>
  </si>
  <si>
    <t>https://link.springer.com/article/10.1007/s13399-019-00396-3</t>
  </si>
  <si>
    <t>yield %</t>
  </si>
  <si>
    <t>https://link.springer.com/article/10.1007/s00253-018-9432-4</t>
  </si>
  <si>
    <t>0.72-0.89</t>
  </si>
  <si>
    <t>yield g g−1-consumed sugars</t>
  </si>
  <si>
    <t>https://www.sciencedirect.com/science/article/pii/S2589014X1930146X?via%3Dihub#t0010</t>
  </si>
  <si>
    <t>0.62-0.9</t>
  </si>
  <si>
    <t>LA yield (g g−1)</t>
  </si>
  <si>
    <t>https://www.sciencedirect.com/science/article/pii/S1878818119307340?via%3Dihub#tbl3</t>
  </si>
  <si>
    <t>40% of the theoretical molar yield (%)</t>
  </si>
  <si>
    <t>0.85-0.91</t>
  </si>
  <si>
    <t>Yield (g g−1)</t>
  </si>
  <si>
    <t>https://www.sciencedirect.com/science/article/pii/S1369703X13002738?via%3Dihub#tbl0015</t>
  </si>
  <si>
    <t>47-73</t>
  </si>
  <si>
    <t>https://link.springer.com/article/10.1007/s12010-009-8884-5</t>
  </si>
  <si>
    <t>g/Gbsg</t>
  </si>
  <si>
    <t>Successive process for efficient biovalorization of Brewers’ spent grain to lignocellulolytic enzymes and lactic acid production through simultaneous saccharification and fermentation - ScienceDirect (uu.nl)</t>
  </si>
  <si>
    <t>g/L</t>
  </si>
  <si>
    <t>Effects of medium supplementation and pH control on lactic acid production from brewer's spent grain - ScienceDirect (uu.nl)</t>
  </si>
  <si>
    <t>g/g</t>
  </si>
  <si>
    <t>Wastes from bioethanol and beer productions as substrates for l(+) lactic acid production – A comparative study - ScienceDirect (uu.nl)</t>
  </si>
  <si>
    <t>Brewer’s spent grain as raw material for lactic acid production by Lactobacillus delbrueckii | Biotechnology Letters (uu.nl)</t>
  </si>
  <si>
    <t>Impact of Hydrolysis Methods on the Utilization of Agricultural Residues as Nutrient Source for D-lactic Acid Production by &lt;i&gt;Sporolactobacillus inulinus&lt;/i&gt; – DOAJ</t>
  </si>
  <si>
    <t>0.03-0.2</t>
  </si>
  <si>
    <t>g sorb/g total reducing sugar</t>
  </si>
  <si>
    <t>Optimization study for sorbitol production by Zymomonas mobilis in sugarcane molasses - ScienceDirect</t>
  </si>
  <si>
    <t>https://www.sciencedirect.com/science/article/pii/S0032959204000780</t>
  </si>
  <si>
    <t>g/g of xylose</t>
  </si>
  <si>
    <t>Comparison of xylitol production from the isolated strain of Candida Se, in statistically optimized modified minimal medium and corncob hydrolyzate medium</t>
  </si>
  <si>
    <t>0.91-0.98</t>
  </si>
  <si>
    <t>g/g xylose</t>
  </si>
  <si>
    <t>Optimization of dilute sulfuric acid pretreatment of corn stover for enhanced xylose recovery and xylitol production</t>
  </si>
  <si>
    <t>10%-58%</t>
  </si>
  <si>
    <t>% g/g substrate</t>
  </si>
  <si>
    <t>Particle size influence on the composition of sugars in corncob hemicellulose hydrolysate for xylose fermentation by Meyerozyma caribbica</t>
  </si>
  <si>
    <t>http://www.envirobiotechjournals.com/article_abstract.php?aid=6215&amp;iid=196&amp;jid=1</t>
  </si>
  <si>
    <t>% g/g xylose</t>
  </si>
  <si>
    <t>Optimized Production of Xylitol from Xylose Using a Hyper-Acidophilic Candida tropicalis</t>
  </si>
  <si>
    <t>https://link.springer.com/article/10.1007/s12257-016-0483-z</t>
  </si>
  <si>
    <t>1-2.74</t>
  </si>
  <si>
    <t>Combination of the CRP mutation and ptsG deletion in Escherichia coli to efficiently synthesize xylitol from corncob hydrolysates - ProQuest</t>
  </si>
  <si>
    <t>https://www.sciencedirect.com/science/article/pii/S096085242101018X</t>
  </si>
  <si>
    <t>https://www.mdpi.com/2218-273X/5/3/1979</t>
  </si>
  <si>
    <t>https://link.springer.com/article/10.1007/s00253-019-10324-0</t>
  </si>
  <si>
    <t>g input for 1 L  xylitol (xylitol concentration: 6.134 g/L)</t>
  </si>
  <si>
    <t>Life cycle assessment of fermentative xylitol production from wheat bran: A comparative evaluation of sulphuric acid and chemical-free wet air oxidation-based pretreatment - ScienceDirect (wur.nl)</t>
  </si>
  <si>
    <t>0.39-0.71</t>
  </si>
  <si>
    <t>yield g/g xylose</t>
  </si>
  <si>
    <t>Optimized Bioconversion of Xylose Derived from Pre-Treated Crop Residues into Xylitol by Using Candida boidinii</t>
  </si>
  <si>
    <t>https://link.springer.com/article/10.1007/s13399-020-01221-y</t>
  </si>
  <si>
    <t>0.68-0.72</t>
  </si>
  <si>
    <t>yield g xylitol/g xylose</t>
  </si>
  <si>
    <t>Optimised fractionation of wheat bran for arabinose biopurification and xylitol fermentation by Ogataea zsoltii within a biorefinery process</t>
  </si>
  <si>
    <t>https://www.sciencedirect.com/science/article/pii/S095965262302824X?casa_token=AJVwBlQT4awAAAAA:iBE6Ui5a4rPA9r4mYyLL37VyFgt7coeu9x2puuBiwdn-YedaKrYdNlUSC4CAOSj830Yn6MA#tbl1</t>
  </si>
  <si>
    <t>https://www.mdpi.com/2073-4395/11/1/79</t>
  </si>
  <si>
    <t>https://www.sciencedirect.com/science/article/pii/S0926669019305163?via%3Dihub#sec0010</t>
  </si>
  <si>
    <t>0.51-0.57</t>
  </si>
  <si>
    <t>Characteristics of adapted and non-adapted Candida tropicalis InaCC Y799 during fermentation of detoxified and undetoxified hemicellulosic hydrolysate from sugarcane trash for xylitol production | SpringerLink (wur.nl)</t>
  </si>
  <si>
    <t>63.17-75.52</t>
  </si>
  <si>
    <t>Fermentation efficiency (%) of  theoretical xylitol yield (0.917g/g)</t>
  </si>
  <si>
    <t>Biochemical conversion of sugarcane straw hemicellulosic hydrolyzate supplemented with co-substrates for xylitol production - ScienceDirect (wur.nl)</t>
  </si>
  <si>
    <t>0.06-0.15</t>
  </si>
  <si>
    <t>c/c xylose</t>
  </si>
  <si>
    <t>Influence of Different Pretreatment Methods and Yeast Strains on Xylitol Production from Sugarcane Trash Hemicellulose Hydrolysate</t>
  </si>
  <si>
    <t>https://link.springer.com/article/10.1007/s13399-021-02087-4</t>
  </si>
  <si>
    <t>0.69-0.78</t>
  </si>
  <si>
    <t>Rational engineering of industrial S. cerevisiae: towards xylitol production from sugarcane straw | Journal of Genetic Engineering and Biotechnology | Full Text (springeropen.com)</t>
  </si>
  <si>
    <t>https://www.sciencedirect.com/science/article/pii/S096085241501562X</t>
  </si>
  <si>
    <t>Sugarcane straw as a feedstock for xylitol production by Candida guilliermondii FTI 20037 - ScienceDirect (wur.nl)</t>
  </si>
  <si>
    <t>sugarcane trash hemicellulose hydrolisate</t>
  </si>
  <si>
    <t>https://link.springer.com/chapter/10.1007/978-981-19-0308-3_45</t>
  </si>
  <si>
    <t>Response surface methodology for xylitol production from sugarcane bagasse hemicellulosic hydrolyzate using controlled vacuum evaporation process variables</t>
  </si>
  <si>
    <t>https://link.springer.com/article/10.1186/s43141-022-00359-8</t>
  </si>
  <si>
    <t>Integrated lignocellulosic bioprocess for co-production of ethanol and xylitol from sugarcane bagasse</t>
  </si>
  <si>
    <t>https://www.scielo.br/j/bjm/a/GzLCVkXzjv7yBpQtQQxLqNS/?lang=en</t>
  </si>
  <si>
    <t>0.1-0.63</t>
  </si>
  <si>
    <t>The influence of pH and dilution rate on continuous production of xylitol from sugarcane bagasse hemicellulosic hydrolysate by C. guilliermondii</t>
  </si>
  <si>
    <t>https://www.sciencedirect.com/science/article/pii/S003295920200290X</t>
  </si>
  <si>
    <t>Fermentation Strategies Explored for Xylitol Production</t>
  </si>
  <si>
    <t>https://www.sciencedirect.com/science/article/pii/S0926669018305806</t>
  </si>
  <si>
    <t>https://www.sciencedirect.com/science/article/pii/S0032959202002443</t>
  </si>
  <si>
    <t>https://link.springer.com/chapter/10.1007/978-3-642-31887-0_7</t>
  </si>
  <si>
    <t>Cunha et al. (2006)</t>
  </si>
  <si>
    <t>https://link.springer.com/chapter/10.1007/978-3-642-31887-0_8</t>
  </si>
  <si>
    <t>0.08-0.58</t>
  </si>
  <si>
    <t>YP/S* (g/g)</t>
  </si>
  <si>
    <t>https://link.springer.com/article/10.1007/s13399-024-05372-0</t>
  </si>
  <si>
    <t>Yxylp/s (g g−1)</t>
  </si>
  <si>
    <t>https://link.springer.com/article/10.1007/s11274-016-2166-5</t>
  </si>
  <si>
    <t>Xylitol (g/L)</t>
  </si>
  <si>
    <t>https://www.mdpi.com/2076-3417/11/12/5516</t>
  </si>
  <si>
    <t xml:space="preserve">g/g </t>
  </si>
  <si>
    <t>Acid hydrolysis and fermentation of brewer's spent grain to produce xylitol - Mussatto - 2005 - Journal of the Science of Food and Agriculture - Wiley Online Library (uu.nl)</t>
  </si>
  <si>
    <t>Xylitol production by Debaryomyces hansenii in brewery spent grain dilute-acid hydrolysate: effect of supplementation | Biotechnology Letters (uu.nl)</t>
  </si>
  <si>
    <t>Establishment of the optimum initial xylose concentration and nutritional supplementation of brewer's spent grain hydrolysate for xylitol production by Candida guilliermondii - ScienceDirect (uu.nl)</t>
  </si>
  <si>
    <t>Evaluation of the detoxification of brewery’s spent grain hydrolysate for xylitol production by Debaryomyces hansenii CCMI 941 - ScienceDirect</t>
  </si>
  <si>
    <t>Kinetic Behavior of Candida guilliermondii Yeast during Xylitol Production from Brewerapos;s Spent Grain Hemicellulosic Hydrolysate (uu.nl)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</si>
</sst>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2E2E2E"/>
      <name val="Arial"/>
      <family val="2"/>
    </font>
    <font>
      <sz val="11"/>
      <color theme="1"/>
      <name val="Georgia"/>
      <family val="1"/>
    </font>
    <font>
      <sz val="8"/>
      <color theme="1"/>
      <name val="Georgia"/>
      <family val="1"/>
    </font>
    <font>
      <sz val="11"/>
      <color rgb="FF1F1F1F"/>
      <name val="Georgia"/>
      <family val="1"/>
    </font>
    <font>
      <sz val="11"/>
      <color rgb="FFFF0000"/>
      <name val="Georgia"/>
      <family val="1"/>
    </font>
    <font>
      <sz val="11"/>
      <color rgb="FF000000"/>
      <name val="Open Sans"/>
      <family val="2"/>
    </font>
    <font>
      <sz val="8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33">
    <xf numFmtId="0" fontId="0" fillId="0" borderId="0" xfId="0"/>
    <xf numFmtId="164" fontId="0" fillId="0" borderId="0" xfId="0" applyNumberFormat="1"/>
    <xf numFmtId="3" fontId="0" fillId="0" borderId="0" xfId="0" applyNumberForma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4" fillId="2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3" fillId="0" borderId="0" xfId="1"/>
    <xf numFmtId="0" fontId="1" fillId="0" borderId="0" xfId="1" applyFont="1"/>
    <xf numFmtId="0" fontId="5" fillId="0" borderId="0" xfId="0" applyFont="1"/>
    <xf numFmtId="0" fontId="4" fillId="0" borderId="0" xfId="1" applyFont="1"/>
    <xf numFmtId="0" fontId="6" fillId="0" borderId="0" xfId="0" applyFont="1"/>
    <xf numFmtId="2" fontId="4" fillId="0" borderId="0" xfId="0" applyNumberFormat="1" applyFont="1"/>
    <xf numFmtId="2" fontId="7" fillId="0" borderId="0" xfId="0" applyNumberFormat="1" applyFont="1"/>
    <xf numFmtId="0" fontId="0" fillId="0" borderId="0" xfId="0" applyAlignment="1">
      <alignment horizontal="left" vertical="center" wrapText="1"/>
    </xf>
    <xf numFmtId="0" fontId="7" fillId="0" borderId="0" xfId="0" applyFont="1"/>
    <xf numFmtId="0" fontId="8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/>
    </xf>
    <xf numFmtId="0" fontId="10" fillId="0" borderId="0" xfId="0" applyFont="1"/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12" fillId="0" borderId="0" xfId="0" applyFont="1" applyAlignment="1">
      <alignment horizontal="center" vertical="top" wrapText="1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2" fillId="8" borderId="0" xfId="0" applyFont="1" applyFill="1" applyAlignment="1">
      <alignment vertical="center"/>
    </xf>
    <xf numFmtId="0" fontId="4" fillId="9" borderId="0" xfId="0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2" fillId="11" borderId="0" xfId="0" applyFont="1" applyFill="1" applyAlignment="1">
      <alignment vertical="center"/>
    </xf>
    <xf numFmtId="0" fontId="2" fillId="12" borderId="0" xfId="0" applyFont="1" applyFill="1" applyAlignment="1">
      <alignment vertical="center"/>
    </xf>
    <xf numFmtId="0" fontId="1" fillId="0" borderId="0" xfId="2"/>
  </cellXfs>
  <cellStyles count="3">
    <cellStyle name="Hyperlink" xfId="1" builtinId="8"/>
    <cellStyle name="Normal" xfId="0" builtinId="0"/>
    <cellStyle name="Normal 2" xfId="2" xr:uid="{1125C739-4778-46CF-B22D-F20ED68287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298132</xdr:colOff>
      <xdr:row>0</xdr:row>
      <xdr:rowOff>131922</xdr:rowOff>
    </xdr:from>
    <xdr:to>
      <xdr:col>21</xdr:col>
      <xdr:colOff>555307</xdr:colOff>
      <xdr:row>11</xdr:row>
      <xdr:rowOff>0</xdr:rowOff>
    </xdr:to>
    <xdr:sp macro="" textlink="">
      <xdr:nvSpPr>
        <xdr:cNvPr id="2" name="Rectangle 20">
          <a:extLst>
            <a:ext uri="{FF2B5EF4-FFF2-40B4-BE49-F238E27FC236}">
              <a16:creationId xmlns:a16="http://schemas.microsoft.com/office/drawing/2014/main" id="{0362BDCA-06ED-499F-B3A6-BA1CFB8BD47F}"/>
            </a:ext>
            <a:ext uri="{147F2762-F138-4A5C-976F-8EAC2B608ADB}">
              <a16:predDERef xmlns:a16="http://schemas.microsoft.com/office/drawing/2014/main" pred="{2319129E-07A3-4304-9A78-B37C12DA13BF}"/>
            </a:ext>
          </a:extLst>
        </xdr:cNvPr>
        <xdr:cNvSpPr/>
      </xdr:nvSpPr>
      <xdr:spPr>
        <a:xfrm>
          <a:off x="16406812" y="131922"/>
          <a:ext cx="2695575" cy="1879758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50" b="1" baseline="0"/>
            <a:t>All of these data are form the same literature, so please put them in the "yield file" (another excel file), and calculate the avarage . In this sheet, put the yield range in the D column, and avrg value in F. Then  calculate avg yield from 5 literature. DO the same thinng for all. </a:t>
          </a:r>
        </a:p>
        <a:p>
          <a:pPr algn="l"/>
          <a:r>
            <a:rPr lang="en-US" sz="1050" b="1" baseline="0"/>
            <a:t>one exceptional,  some paper reviwes the yield from other studies. In this case, you can use the data presented in the same paper, but  the reference are actually different.</a:t>
          </a:r>
          <a:endParaRPr lang="en-US" sz="105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wageningenur4.sharepoint.com/sites/FLtochemicals/Gedeelde%20documenten/General/Yield%20calculation.xlsx" TargetMode="External"/><Relationship Id="rId2" Type="http://schemas.microsoft.com/office/2019/04/relationships/externalLinkLongPath" Target="https://wageningenur4-my.sharepoint.com/personal/yujun_wei_wur_nl/Documents/Phd%20thesis/Chapter_2_FL2chemicals/Submission%20NF/revision_1round/Phd%20thesis/Chapter_2_FL2chemicals/Submission%20NF/revision_1round/Yield%20calculation.xlsx?B53AA0E5" TargetMode="External"/><Relationship Id="rId1" Type="http://schemas.openxmlformats.org/officeDocument/2006/relationships/externalLinkPath" Target="file:///\\B53AA0E5\Yield%20calcu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rice"/>
      <sheetName val="apple"/>
      <sheetName val="orange"/>
      <sheetName val="banana"/>
      <sheetName val="potato"/>
      <sheetName val="sweet potato"/>
      <sheetName val="corn"/>
      <sheetName val="Wheat"/>
      <sheetName val="Tomato"/>
      <sheetName val="Sugarcane"/>
      <sheetName val="Sugar Beet"/>
      <sheetName val="rapeseed"/>
      <sheetName val="barle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5">
          <cell r="K5">
            <v>0.25132498222222222</v>
          </cell>
        </row>
        <row r="385">
          <cell r="E385">
            <v>0.11686111111111111</v>
          </cell>
        </row>
        <row r="392">
          <cell r="E392">
            <v>0.37978888888888895</v>
          </cell>
        </row>
        <row r="554">
          <cell r="E554">
            <v>8.6983620370370357E-2</v>
          </cell>
        </row>
        <row r="557">
          <cell r="E557">
            <v>0.28268952962962962</v>
          </cell>
        </row>
        <row r="667">
          <cell r="E667">
            <v>0.83801857122533963</v>
          </cell>
        </row>
      </sheetData>
      <sheetData sheetId="7" refreshError="1">
        <row r="6">
          <cell r="Q6">
            <v>0.48641765151515143</v>
          </cell>
        </row>
        <row r="177">
          <cell r="E177">
            <v>0.21377774000000002</v>
          </cell>
        </row>
        <row r="266">
          <cell r="E266">
            <v>2.9501181818181815E-2</v>
          </cell>
        </row>
        <row r="274">
          <cell r="E274">
            <v>0.11126159999999999</v>
          </cell>
        </row>
        <row r="331">
          <cell r="E331">
            <v>0.49543666666666664</v>
          </cell>
        </row>
        <row r="340">
          <cell r="E340">
            <v>0.24384888888888892</v>
          </cell>
        </row>
        <row r="346">
          <cell r="E346">
            <v>0.29260000000000003</v>
          </cell>
        </row>
        <row r="352">
          <cell r="E352">
            <v>0.61363369999999984</v>
          </cell>
        </row>
        <row r="358">
          <cell r="E358">
            <v>0.30202426666666671</v>
          </cell>
        </row>
        <row r="364">
          <cell r="E364">
            <v>0.36240600000000001</v>
          </cell>
        </row>
        <row r="366">
          <cell r="E366">
            <v>0.12032033333333332</v>
          </cell>
        </row>
        <row r="369">
          <cell r="E369">
            <v>5.9220444444444451E-2</v>
          </cell>
        </row>
        <row r="372">
          <cell r="E372">
            <v>7.1059999999999998E-2</v>
          </cell>
        </row>
        <row r="510">
          <cell r="E510">
            <v>0.33447577777777776</v>
          </cell>
        </row>
        <row r="514">
          <cell r="E514">
            <v>0.16738681666666663</v>
          </cell>
        </row>
        <row r="518">
          <cell r="E518">
            <v>8.2386088888888889E-2</v>
          </cell>
        </row>
        <row r="522">
          <cell r="E522">
            <v>9.8856999999999987E-2</v>
          </cell>
        </row>
        <row r="545">
          <cell r="E545">
            <v>0.18150485629629631</v>
          </cell>
        </row>
        <row r="549">
          <cell r="E549">
            <v>0.21779193333333333</v>
          </cell>
        </row>
        <row r="699">
          <cell r="E699">
            <v>0.31768000000000002</v>
          </cell>
        </row>
        <row r="705">
          <cell r="E705">
            <v>0.68128046518518504</v>
          </cell>
        </row>
        <row r="712">
          <cell r="E712">
            <v>0.3353193165432099</v>
          </cell>
        </row>
        <row r="719">
          <cell r="E719">
            <v>0.40235751111111107</v>
          </cell>
        </row>
        <row r="749">
          <cell r="E749">
            <v>1.971244834710744E-2</v>
          </cell>
        </row>
      </sheetData>
      <sheetData sheetId="8" refreshError="1">
        <row r="70">
          <cell r="E70">
            <v>2.1846514954264446E-2</v>
          </cell>
        </row>
        <row r="74">
          <cell r="E74">
            <v>6.2601627976190469E-2</v>
          </cell>
        </row>
        <row r="78">
          <cell r="E78">
            <v>3.469899564678362E-3</v>
          </cell>
        </row>
        <row r="82">
          <cell r="E82">
            <v>1.4684679166666666E-2</v>
          </cell>
        </row>
        <row r="86">
          <cell r="E86">
            <v>1.6584784850612086E-2</v>
          </cell>
        </row>
        <row r="90">
          <cell r="E90">
            <v>4.1027033055555558E-2</v>
          </cell>
        </row>
        <row r="150">
          <cell r="E150">
            <v>3.0639393538016896E-2</v>
          </cell>
        </row>
        <row r="157">
          <cell r="E157">
            <v>7.5794978518518519E-2</v>
          </cell>
        </row>
        <row r="163">
          <cell r="E163">
            <v>4.4500438016528926E-4</v>
          </cell>
        </row>
        <row r="170">
          <cell r="E170">
            <v>7.3341903409090917E-3</v>
          </cell>
        </row>
      </sheetData>
      <sheetData sheetId="9" refreshError="1">
        <row r="86">
          <cell r="E86">
            <v>6.6326475586744635E-2</v>
          </cell>
        </row>
        <row r="572">
          <cell r="E572">
            <v>4.6941281225730991E-2</v>
          </cell>
        </row>
        <row r="576">
          <cell r="E576">
            <v>0.15327361084444444</v>
          </cell>
        </row>
        <row r="581">
          <cell r="E581">
            <v>6.4738763157894716E-2</v>
          </cell>
        </row>
        <row r="585">
          <cell r="E585">
            <v>0.14124613533769981</v>
          </cell>
        </row>
        <row r="854">
          <cell r="E854">
            <v>0.26094374846087071</v>
          </cell>
        </row>
        <row r="861">
          <cell r="E861">
            <v>0.6238383582182716</v>
          </cell>
        </row>
        <row r="1049">
          <cell r="E1049">
            <v>0</v>
          </cell>
        </row>
      </sheetData>
      <sheetData sheetId="10" refreshError="1">
        <row r="7">
          <cell r="E7">
            <v>8.4476304000000002E-2</v>
          </cell>
        </row>
        <row r="349">
          <cell r="E349">
            <v>0.38953157894736845</v>
          </cell>
        </row>
        <row r="357">
          <cell r="E357">
            <v>0.15221592673368423</v>
          </cell>
        </row>
        <row r="363">
          <cell r="E363">
            <v>0.38275064255821045</v>
          </cell>
        </row>
        <row r="369">
          <cell r="E369">
            <v>0.25979585031578944</v>
          </cell>
        </row>
        <row r="372">
          <cell r="E372">
            <v>1.5837768038596496E-2</v>
          </cell>
        </row>
        <row r="375">
          <cell r="E375">
            <v>5.8990480336491229E-2</v>
          </cell>
        </row>
        <row r="378">
          <cell r="E378">
            <v>3.5997998070175438E-2</v>
          </cell>
        </row>
        <row r="382">
          <cell r="E382">
            <v>0.11720177140558213</v>
          </cell>
        </row>
        <row r="416">
          <cell r="E416">
            <v>4.154765151219298E-2</v>
          </cell>
        </row>
        <row r="421">
          <cell r="E421">
            <v>0.1067273563961491</v>
          </cell>
        </row>
        <row r="426">
          <cell r="E426">
            <v>7.2131008390350859E-2</v>
          </cell>
        </row>
        <row r="431">
          <cell r="E431">
            <v>9.1475861236994152E-2</v>
          </cell>
        </row>
        <row r="436">
          <cell r="E436">
            <v>0.23001827350355203</v>
          </cell>
        </row>
        <row r="470">
          <cell r="E470">
            <v>7.080413946666668E-2</v>
          </cell>
        </row>
        <row r="659">
          <cell r="E659">
            <v>0.16899615743678753</v>
          </cell>
        </row>
        <row r="667">
          <cell r="E667">
            <v>0.42494493997312432</v>
          </cell>
        </row>
        <row r="675">
          <cell r="E675">
            <v>0.28843565429395707</v>
          </cell>
        </row>
        <row r="681">
          <cell r="E681">
            <v>5.3905429338842981E-5</v>
          </cell>
        </row>
        <row r="689">
          <cell r="E689">
            <v>4.7681774212534438E-3</v>
          </cell>
        </row>
        <row r="697">
          <cell r="E697">
            <v>2.5969411363636363E-3</v>
          </cell>
        </row>
      </sheetData>
      <sheetData sheetId="11" refreshError="1">
        <row r="30">
          <cell r="K30">
            <v>2.1583200000000004E-2</v>
          </cell>
        </row>
        <row r="71">
          <cell r="F71">
            <v>7.9158787654320981E-2</v>
          </cell>
        </row>
        <row r="80">
          <cell r="E80">
            <v>3.679632E-2</v>
          </cell>
        </row>
        <row r="87">
          <cell r="E87">
            <v>8.8696914545454541E-3</v>
          </cell>
        </row>
        <row r="95">
          <cell r="E95">
            <v>3.7800000000000007E-2</v>
          </cell>
        </row>
        <row r="102">
          <cell r="E102">
            <v>0.10841312222222224</v>
          </cell>
        </row>
        <row r="113">
          <cell r="E113">
            <v>4.6818000000000005E-2</v>
          </cell>
        </row>
        <row r="120">
          <cell r="E120">
            <v>0.13427739566666666</v>
          </cell>
        </row>
        <row r="126">
          <cell r="E126">
            <v>2.4079385747368424E-3</v>
          </cell>
        </row>
        <row r="138">
          <cell r="E138">
            <v>6.9783142857142863E-2</v>
          </cell>
        </row>
        <row r="157">
          <cell r="E157">
            <v>1.2771000000000001E-2</v>
          </cell>
        </row>
        <row r="161">
          <cell r="E161">
            <v>3.6628147722222219E-2</v>
          </cell>
        </row>
        <row r="169">
          <cell r="E169">
            <v>2.8135800000000002E-2</v>
          </cell>
        </row>
        <row r="173">
          <cell r="E173">
            <v>8.0695500640740742E-2</v>
          </cell>
        </row>
        <row r="194">
          <cell r="E194">
            <v>0.14868085333333333</v>
          </cell>
        </row>
        <row r="204">
          <cell r="E204">
            <v>5.1979200000000003E-2</v>
          </cell>
        </row>
        <row r="211">
          <cell r="E211">
            <v>0.14908008895802469</v>
          </cell>
        </row>
        <row r="220">
          <cell r="E220">
            <v>2.4587000000000001E-2</v>
          </cell>
        </row>
        <row r="227">
          <cell r="E227">
            <v>5.9266552685950415E-3</v>
          </cell>
        </row>
      </sheetData>
      <sheetData sheetId="1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Wei, Yujun" id="{40EB99C2-75F3-4BD1-9951-458E72160D62}" userId="Wei, Yujun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535" dT="2024-04-18T11:50:13.09" personId="{40EB99C2-75F3-4BD1-9951-458E72160D62}" id="{8F20A979-4138-45B9-A91B-715ED4E4B290}">
    <text>Check the xylose content in SCB</text>
  </threadedComment>
</ThreadedComment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ciencedirect.com/science/article/pii/S0960852410020237?pes=vor" TargetMode="External"/><Relationship Id="rId18" Type="http://schemas.openxmlformats.org/officeDocument/2006/relationships/hyperlink" Target="https://www-sciencedirect-com.ezproxy.library.wur.nl/science/article/pii/S1359511316300010" TargetMode="External"/><Relationship Id="rId26" Type="http://schemas.openxmlformats.org/officeDocument/2006/relationships/hyperlink" Target="https://www.scopus.com/record/display.uri?eid=2-s2.0-85173894582&amp;origin=resultslist&amp;sort=plf-f&amp;src=s&amp;sid=a82dc4bbcb1579116418651cac7c446d&amp;sot=b&amp;sdt=b&amp;s=TITLE-ABS-KEY%28%28%22bagasse%22%29+AND+%28%22ethanol+production%22%29%29&amp;sl=53&amp;sessionSearchId=a82dc4bbcb1579116418651cac7c446d" TargetMode="External"/><Relationship Id="rId39" Type="http://schemas.openxmlformats.org/officeDocument/2006/relationships/hyperlink" Target="https://elibrary.asabe.org/abstract.asp??JID=3&amp;AID=37124&amp;CID=biee2010&amp;v=3&amp;i=4&amp;T=1" TargetMode="External"/><Relationship Id="rId21" Type="http://schemas.openxmlformats.org/officeDocument/2006/relationships/hyperlink" Target="https://www-sciencedirect-com.ezproxy.library.wur.nl/science/article/pii/S0961953412002784" TargetMode="External"/><Relationship Id="rId34" Type="http://schemas.openxmlformats.org/officeDocument/2006/relationships/hyperlink" Target="https://www.sciencedirect.com/science/article/pii/S0959652617309824" TargetMode="External"/><Relationship Id="rId42" Type="http://schemas.openxmlformats.org/officeDocument/2006/relationships/hyperlink" Target="https://onlinelibrary.wiley.com/doi/full/10.1002/jib.536?sid=worldcat.org" TargetMode="External"/><Relationship Id="rId47" Type="http://schemas.openxmlformats.org/officeDocument/2006/relationships/hyperlink" Target="https://www.sciencedirect.com/science/article/pii/S0960852413016866" TargetMode="External"/><Relationship Id="rId50" Type="http://schemas.openxmlformats.org/officeDocument/2006/relationships/hyperlink" Target="https://www-scopus-com.proxy.library.uu.nl/record/display.uri?eid=2-s2.0-81355161555&amp;origin=resultslist&amp;sort=r-f&amp;src=s&amp;sid=bf6987c16c025d5d765fb719665143bc&amp;sot=b&amp;sdt=b&amp;s=TITLE-ABS-KEY%28%22barley%22+AND+%22ethanol+production%22+%22w%2Fw%22%29&amp;sl=48&amp;sessionSearchId=bf6987c16c025d5d765fb719665143bc&amp;relpos=0" TargetMode="External"/><Relationship Id="rId55" Type="http://schemas.openxmlformats.org/officeDocument/2006/relationships/hyperlink" Target="https://www-sciencedirect-com.proxy.library.uu.nl/science/article/pii/S1369703X08000235" TargetMode="External"/><Relationship Id="rId63" Type="http://schemas.openxmlformats.org/officeDocument/2006/relationships/hyperlink" Target="https://www.sciencedirect.com/science/article/pii/S1364032120304639" TargetMode="External"/><Relationship Id="rId68" Type="http://schemas.openxmlformats.org/officeDocument/2006/relationships/hyperlink" Target="https://www.sciencedirect.com/science/article/pii/S092058611300429X?casa_token=TmRSLLyyCFMAAAAA:FE-nSruO8qqe-auFmTSCIrZQxs87ixKGFR_CJGPn4yyD2_yQal-EUQAAJh-yMMuThHqvTpbk" TargetMode="External"/><Relationship Id="rId76" Type="http://schemas.openxmlformats.org/officeDocument/2006/relationships/hyperlink" Target="https://www.sciencedirect.com/science/article/abs/pii/S0032959204001657" TargetMode="External"/><Relationship Id="rId7" Type="http://schemas.openxmlformats.org/officeDocument/2006/relationships/hyperlink" Target="https://pubs.rsc.org/en/content/articlelanding/2015/ra/c5ra17797a" TargetMode="External"/><Relationship Id="rId71" Type="http://schemas.openxmlformats.org/officeDocument/2006/relationships/hyperlink" Target="https://www-sciencedirect-com.proxy.library.uu.nl/science/article/pii/S0960852419315974" TargetMode="External"/><Relationship Id="rId2" Type="http://schemas.openxmlformats.org/officeDocument/2006/relationships/hyperlink" Target="https://www.sciencedirect.com/science/article/pii/S0961953417302349" TargetMode="External"/><Relationship Id="rId16" Type="http://schemas.openxmlformats.org/officeDocument/2006/relationships/hyperlink" Target="https://www-sciencedirect-com.ezproxy.library.wur.nl/science/article/pii/S1871678414006736" TargetMode="External"/><Relationship Id="rId29" Type="http://schemas.openxmlformats.org/officeDocument/2006/relationships/hyperlink" Target="https://sci-hub.se/10.1016/j.renene.2012.07.003" TargetMode="External"/><Relationship Id="rId11" Type="http://schemas.openxmlformats.org/officeDocument/2006/relationships/hyperlink" Target="https://aiche.onlinelibrary.wiley.com/doi/10.1002/btpr.2275" TargetMode="External"/><Relationship Id="rId24" Type="http://schemas.openxmlformats.org/officeDocument/2006/relationships/hyperlink" Target="https://www.sciencedirect.com/science/article/pii/S0960852411002008" TargetMode="External"/><Relationship Id="rId32" Type="http://schemas.openxmlformats.org/officeDocument/2006/relationships/hyperlink" Target="https://www.sciencedirect.com/science/article/pii/S0961953412004424" TargetMode="External"/><Relationship Id="rId37" Type="http://schemas.openxmlformats.org/officeDocument/2006/relationships/hyperlink" Target="https://www.eurekaselect.com/article/70433" TargetMode="External"/><Relationship Id="rId40" Type="http://schemas.openxmlformats.org/officeDocument/2006/relationships/hyperlink" Target="https://dergipark.org.tr/tr/download/article-file/1369920" TargetMode="External"/><Relationship Id="rId45" Type="http://schemas.openxmlformats.org/officeDocument/2006/relationships/hyperlink" Target="https://www.sciencedirect.com/science/article/pii/S0960852416316182" TargetMode="External"/><Relationship Id="rId53" Type="http://schemas.openxmlformats.org/officeDocument/2006/relationships/hyperlink" Target="https://www-sciencedirect-com.proxy.library.uu.nl/science/article/pii/S0141022910002681" TargetMode="External"/><Relationship Id="rId58" Type="http://schemas.openxmlformats.org/officeDocument/2006/relationships/hyperlink" Target="https://onlinelibrary-wiley-com.proxy.library.uu.nl/doi/full/10.1002/jsfa.2276?sid=worldcat.org" TargetMode="External"/><Relationship Id="rId66" Type="http://schemas.openxmlformats.org/officeDocument/2006/relationships/hyperlink" Target="https://link.springer.com/article/10.1007/s13399-022-03648-x" TargetMode="External"/><Relationship Id="rId74" Type="http://schemas.openxmlformats.org/officeDocument/2006/relationships/hyperlink" Target="https://link-springer-com.proxy.library.uu.nl/article/10.1007/s10529-007-9468-5" TargetMode="External"/><Relationship Id="rId79" Type="http://schemas.openxmlformats.org/officeDocument/2006/relationships/vmlDrawing" Target="../drawings/vmlDrawing1.vml"/><Relationship Id="rId5" Type="http://schemas.openxmlformats.org/officeDocument/2006/relationships/hyperlink" Target="https://onlinelibrary.wiley.com/doi/full/10.1002/jib.181" TargetMode="External"/><Relationship Id="rId61" Type="http://schemas.openxmlformats.org/officeDocument/2006/relationships/hyperlink" Target="https://www.sciencedirect.com/science/article/pii/S0926669017300146" TargetMode="External"/><Relationship Id="rId10" Type="http://schemas.openxmlformats.org/officeDocument/2006/relationships/hyperlink" Target="https://www.scopus.com/record/display.uri?eid=2-s2.0-84859838302&amp;origin=resultslist&amp;sort=plf-f&amp;src=s&amp;sid=770bdfea32c2728de40361b11b940c79&amp;sot=a&amp;sdt=a&amp;s=TITLE-ABS-KEY%28%28%22rice+hull%22%29+AND+%28%22ethanol+production%22%29%29&amp;sl=55&amp;sessionSearchId=770bdfea32c2728de40361b11b940c79&amp;relpos=13" TargetMode="External"/><Relationship Id="rId19" Type="http://schemas.openxmlformats.org/officeDocument/2006/relationships/hyperlink" Target="https://www.mdpi.com/2227-9717/10/4/661" TargetMode="External"/><Relationship Id="rId31" Type="http://schemas.openxmlformats.org/officeDocument/2006/relationships/hyperlink" Target="https://openscholar.dut.ac.za/bitstream/10321/888/1/nofemele_sure_et_al_2012.pdf" TargetMode="External"/><Relationship Id="rId44" Type="http://schemas.openxmlformats.org/officeDocument/2006/relationships/hyperlink" Target="https://www.sciencedirect.com/science/article/pii/S0960852417313822" TargetMode="External"/><Relationship Id="rId52" Type="http://schemas.openxmlformats.org/officeDocument/2006/relationships/hyperlink" Target="https://www-sciencedirect-com.proxy.library.uu.nl/science/article/pii/S0960148122002919" TargetMode="External"/><Relationship Id="rId60" Type="http://schemas.openxmlformats.org/officeDocument/2006/relationships/hyperlink" Target="https://www.sciencedirect.com/science/article/pii/S0016236116303623?via%3Dihub" TargetMode="External"/><Relationship Id="rId65" Type="http://schemas.openxmlformats.org/officeDocument/2006/relationships/hyperlink" Target="https://www.sciencedirect.com/science/article/pii/S0960852419318164" TargetMode="External"/><Relationship Id="rId73" Type="http://schemas.openxmlformats.org/officeDocument/2006/relationships/hyperlink" Target="https://www-sciencedirect-com.proxy.library.uu.nl/science/article/pii/S1369703X08000235" TargetMode="External"/><Relationship Id="rId78" Type="http://schemas.openxmlformats.org/officeDocument/2006/relationships/drawing" Target="../drawings/drawing1.xml"/><Relationship Id="rId81" Type="http://schemas.microsoft.com/office/2017/10/relationships/threadedComment" Target="../threadedComments/threadedComment1.xml"/><Relationship Id="rId4" Type="http://schemas.openxmlformats.org/officeDocument/2006/relationships/hyperlink" Target="https://link-springer-com.ezproxy.library.wur.nl/article/10.1007/s12155-019-10016-7" TargetMode="External"/><Relationship Id="rId9" Type="http://schemas.openxmlformats.org/officeDocument/2006/relationships/hyperlink" Target="https://www.sciencedirect.com/science/article/pii/S0196890424000463?pes=vor" TargetMode="External"/><Relationship Id="rId14" Type="http://schemas.openxmlformats.org/officeDocument/2006/relationships/hyperlink" Target="https://www.scopus.com/record/display.uri?eid=2-s2.0-79955907236&amp;origin=resultslist&amp;sort=plf-f&amp;src=s&amp;sid=770bdfea32c2728de40361b11b940c79&amp;sot=a&amp;sdt=a&amp;s=TITLE-ABS-KEY%28%28%22rice+hull%22%29+AND+%28%22ethanol+production%22%29%29&amp;sl=55&amp;sessionSearchId=770bdfea32c2728de40361b11b940c79&amp;relpos=15" TargetMode="External"/><Relationship Id="rId22" Type="http://schemas.openxmlformats.org/officeDocument/2006/relationships/hyperlink" Target="https://biotechnologyforbiofuels.biomedcentral.com/articles/10.1186/s13068-015-0224-0" TargetMode="External"/><Relationship Id="rId27" Type="http://schemas.openxmlformats.org/officeDocument/2006/relationships/hyperlink" Target="https://www.scopus.com/record/display.uri?eid=2-s2.0-85163169278&amp;origin=resultslist&amp;sort=plf-f&amp;src=s&amp;sid=a82dc4bbcb1579116418651cac7c446d&amp;sot=b&amp;sdt=b&amp;s=TITLE-ABS-KEY%28%28%22bagasse%22%29+AND+%28%22ethanol+production%22%29%29&amp;sl=53&amp;sessionSearchId=a82dc4bbcb1579116418651cac7c446d" TargetMode="External"/><Relationship Id="rId30" Type="http://schemas.openxmlformats.org/officeDocument/2006/relationships/hyperlink" Target="https://www.scielo.br/j/bjm/a/tMZzMhg7xVLL9QqsrKNRzSx/?lang=en" TargetMode="External"/><Relationship Id="rId35" Type="http://schemas.openxmlformats.org/officeDocument/2006/relationships/hyperlink" Target="https://hrcak.srce.hr/file/87226" TargetMode="External"/><Relationship Id="rId43" Type="http://schemas.openxmlformats.org/officeDocument/2006/relationships/hyperlink" Target="https://www-sciencedirect-com.ezproxy.library.wur.nl/science/article/pii/S0141022911000044" TargetMode="External"/><Relationship Id="rId48" Type="http://schemas.openxmlformats.org/officeDocument/2006/relationships/hyperlink" Target="https://www.sciencedirect.com/science/article/pii/S0959652620354561" TargetMode="External"/><Relationship Id="rId56" Type="http://schemas.openxmlformats.org/officeDocument/2006/relationships/hyperlink" Target="https://www-sciencedirect-com.proxy.library.uu.nl/science/article/pii/S0956053X15302154" TargetMode="External"/><Relationship Id="rId64" Type="http://schemas.openxmlformats.org/officeDocument/2006/relationships/hyperlink" Target="https://pubs.acs.org/doi/full/10.1021/acs.energyfuels.7b03987" TargetMode="External"/><Relationship Id="rId69" Type="http://schemas.openxmlformats.org/officeDocument/2006/relationships/hyperlink" Target="https://doi.org/10.1016/j.enzmictec.2010.12.009" TargetMode="External"/><Relationship Id="rId77" Type="http://schemas.openxmlformats.org/officeDocument/2006/relationships/hyperlink" Target="https://aiche-onlinelibrary-wiley-com.proxy.library.uu.nl/doi/epdf/10.1021/bp0501118" TargetMode="External"/><Relationship Id="rId8" Type="http://schemas.openxmlformats.org/officeDocument/2006/relationships/hyperlink" Target="https://www.sciencedirect.com/science/article/pii/S096085241931452X?pes=vor" TargetMode="External"/><Relationship Id="rId51" Type="http://schemas.openxmlformats.org/officeDocument/2006/relationships/hyperlink" Target="https://www-sciencedirect-com.proxy.library.uu.nl/science/article/pii/S0926669008000241" TargetMode="External"/><Relationship Id="rId72" Type="http://schemas.openxmlformats.org/officeDocument/2006/relationships/hyperlink" Target="https://link-springer-com.proxy.library.uu.nl/article/10.1007/s10529-007-9494-3" TargetMode="External"/><Relationship Id="rId80" Type="http://schemas.openxmlformats.org/officeDocument/2006/relationships/comments" Target="../comments1.xml"/><Relationship Id="rId3" Type="http://schemas.openxmlformats.org/officeDocument/2006/relationships/hyperlink" Target="https://www.sciencedirect.com/science/article/pii/S096195341300295X" TargetMode="External"/><Relationship Id="rId12" Type="http://schemas.openxmlformats.org/officeDocument/2006/relationships/hyperlink" Target="https://www.sciencedirect.com/science/article/pii/S0960852410020237?pes=vor" TargetMode="External"/><Relationship Id="rId17" Type="http://schemas.openxmlformats.org/officeDocument/2006/relationships/hyperlink" Target="https://www.sciencedirect.com/science/article/pii/S0960852416311233?casa_token=4MKCRwh2jWMAAAAA:PYz3qUZ70Ua7bTGG4fC9Ru3BkctfZX8LzcZVXeU6ndRrygTWFdUvUDtM_LzgeLyrZNh3xFU" TargetMode="External"/><Relationship Id="rId25" Type="http://schemas.openxmlformats.org/officeDocument/2006/relationships/hyperlink" Target="https://biotechnologyforbiofuels.biomedcentral.com/articles/10.1186/s13068-015-0224-0" TargetMode="External"/><Relationship Id="rId33" Type="http://schemas.openxmlformats.org/officeDocument/2006/relationships/hyperlink" Target="https://www.sciencedirect.com/science/article/pii/S096014811000340X" TargetMode="External"/><Relationship Id="rId38" Type="http://schemas.openxmlformats.org/officeDocument/2006/relationships/hyperlink" Target="https://www.sciencedirect.com/science/article/pii/S0016236115005967?via%3Dihub" TargetMode="External"/><Relationship Id="rId46" Type="http://schemas.openxmlformats.org/officeDocument/2006/relationships/hyperlink" Target="https://www.sciencedirect.com/science/article/pii/S096085241631639X" TargetMode="External"/><Relationship Id="rId59" Type="http://schemas.openxmlformats.org/officeDocument/2006/relationships/hyperlink" Target="https://www.mdpi.com/2076-3417/2/4/738" TargetMode="External"/><Relationship Id="rId67" Type="http://schemas.openxmlformats.org/officeDocument/2006/relationships/hyperlink" Target="https://link.springer.com/article/10.1007/s10570-021-03764-3" TargetMode="External"/><Relationship Id="rId20" Type="http://schemas.openxmlformats.org/officeDocument/2006/relationships/hyperlink" Target="https://www.sciencedirect.com/science/article/pii/S0141022910002607" TargetMode="External"/><Relationship Id="rId41" Type="http://schemas.openxmlformats.org/officeDocument/2006/relationships/hyperlink" Target="https://www.mdpi.com/2311-5637/7/2/86" TargetMode="External"/><Relationship Id="rId54" Type="http://schemas.openxmlformats.org/officeDocument/2006/relationships/hyperlink" Target="https://www-sciencedirect-com.proxy.library.uu.nl/science/article/pii/S0960852424001937" TargetMode="External"/><Relationship Id="rId62" Type="http://schemas.openxmlformats.org/officeDocument/2006/relationships/hyperlink" Target="https://www.sciencedirect.com/science/article/pii/S1364032120304639" TargetMode="External"/><Relationship Id="rId70" Type="http://schemas.openxmlformats.org/officeDocument/2006/relationships/hyperlink" Target="https://www-sciencedirect-com.proxy.library.uu.nl/science/article/pii/S1871678418302279" TargetMode="External"/><Relationship Id="rId75" Type="http://schemas.openxmlformats.org/officeDocument/2006/relationships/hyperlink" Target="https://www-sciencedirect-com.proxy.library.uu.nl/science/article/pii/S1359511308000329" TargetMode="External"/><Relationship Id="rId1" Type="http://schemas.openxmlformats.org/officeDocument/2006/relationships/hyperlink" Target="https://www.sciencedirect.com/topics/earth-and-planetary-sciences/diatomite" TargetMode="External"/><Relationship Id="rId6" Type="http://schemas.openxmlformats.org/officeDocument/2006/relationships/hyperlink" Target="https://www.sciencedirect.com/science/article/pii/S0957582007714428" TargetMode="External"/><Relationship Id="rId15" Type="http://schemas.openxmlformats.org/officeDocument/2006/relationships/hyperlink" Target="https://www.sciencedirect.com/science/article/pii/S0960852412019931?pes=vor" TargetMode="External"/><Relationship Id="rId23" Type="http://schemas.openxmlformats.org/officeDocument/2006/relationships/hyperlink" Target="https://www.scopus.com/record/display.uri?eid=2-s2.0-34548021881&amp;origin=resultslist&amp;sort=r-f&amp;src=s&amp;sid=98710797b13ce2eaab7165cc3f6aaa48&amp;sot=b&amp;sdt=b&amp;s=TITLE-ABS-KEY%28%28+%22sugarcane%22+OR+%22sugar+cane%22+OR+%22whole+sugarcane%22+OR+%22whole+sugar+cane%22+%29+AND+%28+%22ethanol+production%22+%29+AND+%28+%22yield%22+%29%29&amp;sl=133&amp;sessionSearchId=98710797b13ce2eaab7165cc3f6aaa48" TargetMode="External"/><Relationship Id="rId28" Type="http://schemas.openxmlformats.org/officeDocument/2006/relationships/hyperlink" Target="https://www.scopus.com/record/display.uri?eid=2-s2.0-80755187758&amp;origin=resultslist&amp;sort=r-f&amp;src=s&amp;sid=a82dc4bbcb1579116418651cac7c446d&amp;sot=b&amp;sdt=b&amp;s=TITLE-ABS-KEY%28%28+%22bagasse%22+%29+AND+%28+%22ethanol+production%22+%29+AND+%22yield%22%29&amp;sl=53&amp;sessionSearchId=a82dc4bbcb1579116418651cac7c446d" TargetMode="External"/><Relationship Id="rId36" Type="http://schemas.openxmlformats.org/officeDocument/2006/relationships/hyperlink" Target="https://www-sciencedirect-com.ezproxy.library.wur.nl/science/article/pii/S0306261911008907" TargetMode="External"/><Relationship Id="rId49" Type="http://schemas.openxmlformats.org/officeDocument/2006/relationships/hyperlink" Target="https://www.researchgate.net/publication/256197077_Ethanol_Production_from_Winter_Hulless_Barley" TargetMode="External"/><Relationship Id="rId57" Type="http://schemas.openxmlformats.org/officeDocument/2006/relationships/hyperlink" Target="https://doaj.org/article/e01c2d5c3c5b486d91a97d9ddfebf6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workbookViewId="0">
      <selection activeCell="E16" sqref="E16"/>
    </sheetView>
  </sheetViews>
  <sheetFormatPr defaultRowHeight="14.4" x14ac:dyDescent="0.3"/>
  <sheetData>
    <row r="1" spans="1:12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</row>
    <row r="2" spans="1:12" x14ac:dyDescent="0.3">
      <c r="A2">
        <v>1</v>
      </c>
      <c r="B2" s="1">
        <v>0.33087648399945879</v>
      </c>
      <c r="C2" s="1">
        <v>1.4750590909090908E-2</v>
      </c>
      <c r="D2" s="1">
        <v>0.24771833333333332</v>
      </c>
      <c r="E2" s="1">
        <v>0.30681684999999992</v>
      </c>
      <c r="F2" s="1">
        <v>6.016016666666666E-2</v>
      </c>
      <c r="G2" s="1">
        <v>0.36914938406926401</v>
      </c>
      <c r="H2" s="1">
        <v>8.3693408333333316E-2</v>
      </c>
      <c r="I2" s="1">
        <v>0.20216666666666666</v>
      </c>
      <c r="J2" s="1">
        <v>0.46233619117153679</v>
      </c>
      <c r="K2" s="1">
        <v>0.34064023259259252</v>
      </c>
      <c r="L2">
        <v>9.8562241735537202E-3</v>
      </c>
    </row>
    <row r="3" spans="1:12" x14ac:dyDescent="0.3">
      <c r="A3">
        <v>2</v>
      </c>
      <c r="B3" s="1">
        <v>7.1444493113859669E-2</v>
      </c>
      <c r="C3" s="1">
        <v>7.272E-4</v>
      </c>
      <c r="D3" s="1">
        <v>0.27500000000000002</v>
      </c>
      <c r="E3" s="1">
        <v>6.9317410526315792E-2</v>
      </c>
      <c r="F3" s="1">
        <v>1.3269991228070179E-2</v>
      </c>
      <c r="G3" s="1">
        <v>0.12489403508771933</v>
      </c>
      <c r="H3" s="1">
        <v>1.8460899561403513E-2</v>
      </c>
      <c r="I3" s="1">
        <v>4.1657072046783636E-2</v>
      </c>
      <c r="J3" s="1">
        <v>0.11537559842105265</v>
      </c>
      <c r="K3" s="1">
        <v>7.695893769980508E-2</v>
      </c>
      <c r="L3">
        <v>4.8590909090909099E-4</v>
      </c>
    </row>
    <row r="4" spans="1:12" x14ac:dyDescent="0.3">
      <c r="A4">
        <v>3</v>
      </c>
      <c r="B4" s="1">
        <v>7.448835328466033E-2</v>
      </c>
      <c r="C4" s="1">
        <v>3.8905200000000002E-3</v>
      </c>
      <c r="D4" s="1">
        <v>4.2915146561368425E-2</v>
      </c>
      <c r="E4" s="1">
        <v>7.6107963366842113E-2</v>
      </c>
      <c r="F4" s="1">
        <v>7.9188840192982481E-3</v>
      </c>
      <c r="G4" s="1">
        <v>5.8600885702791067E-2</v>
      </c>
      <c r="H4" s="1">
        <v>2.077382575609649E-2</v>
      </c>
      <c r="I4" s="1">
        <v>4.5737930618497076E-2</v>
      </c>
      <c r="J4" s="1">
        <v>3.540206973333334E-2</v>
      </c>
      <c r="K4" s="1">
        <v>8.4498078718393765E-2</v>
      </c>
      <c r="L4">
        <v>2.695271466942149E-5</v>
      </c>
    </row>
    <row r="5" spans="1:12" x14ac:dyDescent="0.3">
      <c r="A5">
        <v>4</v>
      </c>
      <c r="B5" s="1">
        <v>0.27607174320707073</v>
      </c>
      <c r="C5" s="1">
        <v>5.4253630107629611E-2</v>
      </c>
      <c r="D5" s="1">
        <v>5.666316904668911E-2</v>
      </c>
      <c r="E5" s="1">
        <v>5.2499999999999998E-2</v>
      </c>
      <c r="F5" s="1">
        <v>2.0425499999999999E-2</v>
      </c>
      <c r="G5" s="1">
        <v>0.36091382831774538</v>
      </c>
      <c r="H5" s="1">
        <v>0.11914305514403292</v>
      </c>
      <c r="I5" s="1">
        <v>0.24195604807903462</v>
      </c>
      <c r="J5" s="1">
        <v>0.64413095238095242</v>
      </c>
      <c r="K5" s="1">
        <v>0.41900928561266981</v>
      </c>
      <c r="L5">
        <v>3.2671322433221101E-2</v>
      </c>
    </row>
    <row r="6" spans="1:12" x14ac:dyDescent="0.3">
      <c r="A6">
        <v>5</v>
      </c>
      <c r="B6" s="1">
        <v>0.21621000000000001</v>
      </c>
      <c r="C6" s="1">
        <v>5.0809050818181822E-2</v>
      </c>
      <c r="D6" s="1">
        <v>0.25091930029239767</v>
      </c>
      <c r="E6" s="1">
        <v>0.31078147621929825</v>
      </c>
      <c r="F6" s="1">
        <v>1.5368400000000003E-2</v>
      </c>
      <c r="G6" s="1">
        <v>0.28575434795492521</v>
      </c>
      <c r="H6" s="1">
        <v>8.4128237095029243E-2</v>
      </c>
      <c r="I6" s="1">
        <v>0.18676759918430799</v>
      </c>
      <c r="J6" s="1">
        <v>0.32552743707070708</v>
      </c>
      <c r="K6" s="1">
        <v>0.34504191782430149</v>
      </c>
      <c r="L6">
        <v>3.3950192097107444E-2</v>
      </c>
    </row>
    <row r="7" spans="1:12" x14ac:dyDescent="0.3">
      <c r="A7">
        <v>6</v>
      </c>
      <c r="B7" s="1">
        <v>1.1099365342023266E-2</v>
      </c>
      <c r="C7" s="1">
        <v>1.839816E-2</v>
      </c>
      <c r="D7" s="1">
        <v>1.8900000000000004E-2</v>
      </c>
      <c r="E7" s="1">
        <v>2.3409000000000003E-2</v>
      </c>
      <c r="F7" s="1">
        <v>1.2039692873684212E-3</v>
      </c>
      <c r="G7" s="1">
        <v>3.4891571428571432E-2</v>
      </c>
      <c r="H7" s="1">
        <v>6.3855000000000006E-3</v>
      </c>
      <c r="I7" s="1">
        <v>1.4067900000000001E-2</v>
      </c>
      <c r="J7" s="1">
        <v>7.4340426666666667E-2</v>
      </c>
      <c r="K7" s="1">
        <v>2.5989600000000002E-2</v>
      </c>
      <c r="L7">
        <v>1.2293500000000001E-2</v>
      </c>
    </row>
    <row r="8" spans="1:12" x14ac:dyDescent="0.3">
      <c r="A8">
        <v>7</v>
      </c>
      <c r="B8" s="1">
        <v>2.0514000000000001E-2</v>
      </c>
      <c r="C8" s="1">
        <v>1.3816799999999999E-3</v>
      </c>
      <c r="D8" s="1">
        <v>6.0200000000000002E-3</v>
      </c>
      <c r="E8" s="1">
        <v>1.3741949999999999E-2</v>
      </c>
      <c r="F8" s="1">
        <v>1.2409999999999999E-3</v>
      </c>
      <c r="G8" s="1">
        <v>1.0923257477132223E-2</v>
      </c>
      <c r="H8" s="1">
        <v>1.734949782339181E-3</v>
      </c>
      <c r="I8" s="1">
        <v>8.292392425306043E-3</v>
      </c>
      <c r="J8" s="1">
        <v>4.2647949473684221E-2</v>
      </c>
      <c r="K8" s="1">
        <v>1.5319696769008448E-2</v>
      </c>
      <c r="L8">
        <v>2.2250219008264463E-4</v>
      </c>
    </row>
    <row r="9" spans="1:12" x14ac:dyDescent="0.3">
      <c r="A9">
        <v>8</v>
      </c>
      <c r="B9" s="1">
        <v>5.9757173785318307E-2</v>
      </c>
      <c r="C9" s="1">
        <v>1.0907999999999998E-4</v>
      </c>
      <c r="D9" s="1">
        <v>4.8803588228070197E-2</v>
      </c>
      <c r="E9" s="1">
        <v>6.0446729991052633E-2</v>
      </c>
      <c r="F9" s="1">
        <v>3.7902736824561409E-3</v>
      </c>
      <c r="G9" s="1">
        <v>4.6597618091854628E-2</v>
      </c>
      <c r="H9" s="1">
        <v>5.2729395641228066E-3</v>
      </c>
      <c r="I9" s="1">
        <v>3.6326137504426904E-2</v>
      </c>
      <c r="J9" s="1">
        <v>6.1321013902463938E-2</v>
      </c>
      <c r="K9" s="1">
        <v>6.7110356434510715E-2</v>
      </c>
      <c r="L9">
        <v>6.1771193181818187E-5</v>
      </c>
    </row>
    <row r="10" spans="1:12" x14ac:dyDescent="0.3"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2" x14ac:dyDescent="0.3"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2" x14ac:dyDescent="0.3"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2" x14ac:dyDescent="0.3"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2" x14ac:dyDescent="0.3"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2" x14ac:dyDescent="0.3"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2" x14ac:dyDescent="0.3"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2:11" x14ac:dyDescent="0.3"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2:11" x14ac:dyDescent="0.3"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2:11" x14ac:dyDescent="0.3"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2:11" x14ac:dyDescent="0.3"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2:11" x14ac:dyDescent="0.3"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2:11" x14ac:dyDescent="0.3">
      <c r="B22" s="1"/>
      <c r="C22" s="1"/>
      <c r="D22" s="1"/>
      <c r="E22" s="1"/>
      <c r="F22" s="1"/>
      <c r="G22" s="1"/>
      <c r="H22" s="1"/>
      <c r="I22" s="1"/>
      <c r="J22" s="1"/>
      <c r="K2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E9DB4-517A-4107-B560-35DC26933EC5}">
  <dimension ref="A1:AB567"/>
  <sheetViews>
    <sheetView workbookViewId="0">
      <selection activeCell="C1" sqref="C1:C1048576"/>
    </sheetView>
  </sheetViews>
  <sheetFormatPr defaultRowHeight="14.4" x14ac:dyDescent="0.3"/>
  <cols>
    <col min="2" max="2" width="15" style="5" customWidth="1"/>
    <col min="3" max="3" width="21.5546875" style="6" bestFit="1" customWidth="1"/>
    <col min="4" max="4" width="12.5546875" style="4" customWidth="1"/>
    <col min="5" max="5" width="54.44140625" bestFit="1" customWidth="1"/>
    <col min="6" max="6" width="12.44140625" style="4" customWidth="1"/>
    <col min="7" max="7" width="9.44140625" style="1" bestFit="1" customWidth="1"/>
    <col min="8" max="8" width="9.44140625" customWidth="1"/>
    <col min="9" max="9" width="20" customWidth="1"/>
  </cols>
  <sheetData>
    <row r="1" spans="2:10" x14ac:dyDescent="0.3">
      <c r="B1" s="5" t="s">
        <v>21</v>
      </c>
      <c r="C1" s="6" t="s">
        <v>22</v>
      </c>
      <c r="D1" s="4" t="s">
        <v>23</v>
      </c>
      <c r="E1" t="s">
        <v>24</v>
      </c>
      <c r="F1" s="4" t="s">
        <v>25</v>
      </c>
      <c r="G1" s="1" t="s">
        <v>26</v>
      </c>
      <c r="H1" t="s">
        <v>27</v>
      </c>
      <c r="I1" t="s">
        <v>28</v>
      </c>
      <c r="J1" t="s">
        <v>29</v>
      </c>
    </row>
    <row r="2" spans="2:10" x14ac:dyDescent="0.3">
      <c r="B2" s="7" t="s">
        <v>10</v>
      </c>
      <c r="C2" s="8" t="s">
        <v>5</v>
      </c>
      <c r="D2" s="4" t="s">
        <v>30</v>
      </c>
      <c r="E2" t="s">
        <v>31</v>
      </c>
      <c r="F2" s="4">
        <v>0.25132498222222222</v>
      </c>
      <c r="G2" s="1">
        <f>AVERAGE(F2:F5)</f>
        <v>0.27607174320707073</v>
      </c>
      <c r="H2">
        <f>_xlfn.STDEV.P(F2:F4)</f>
        <v>4.9976187023812353E-2</v>
      </c>
      <c r="I2" t="s">
        <v>32</v>
      </c>
    </row>
    <row r="3" spans="2:10" x14ac:dyDescent="0.3">
      <c r="B3" s="7" t="s">
        <v>10</v>
      </c>
      <c r="C3" s="8" t="s">
        <v>33</v>
      </c>
      <c r="D3" s="4" t="s">
        <v>34</v>
      </c>
      <c r="E3" t="s">
        <v>35</v>
      </c>
      <c r="F3" s="4">
        <v>0.24673834666666664</v>
      </c>
      <c r="I3" s="9" t="s">
        <v>36</v>
      </c>
    </row>
    <row r="4" spans="2:10" x14ac:dyDescent="0.3">
      <c r="B4" s="7" t="s">
        <v>10</v>
      </c>
      <c r="C4" s="8" t="s">
        <v>33</v>
      </c>
      <c r="D4" s="4" t="s">
        <v>37</v>
      </c>
      <c r="E4" t="s">
        <v>38</v>
      </c>
      <c r="F4" s="4">
        <v>0.35497272727272727</v>
      </c>
      <c r="I4" s="10" t="s">
        <v>39</v>
      </c>
      <c r="J4" t="s">
        <v>40</v>
      </c>
    </row>
    <row r="5" spans="2:10" x14ac:dyDescent="0.3">
      <c r="B5" s="7" t="s">
        <v>10</v>
      </c>
      <c r="C5" s="8"/>
      <c r="D5" s="4" t="s">
        <v>41</v>
      </c>
      <c r="E5" t="s">
        <v>42</v>
      </c>
      <c r="F5" s="4">
        <v>0.25125091666666671</v>
      </c>
      <c r="I5" t="s">
        <v>43</v>
      </c>
    </row>
    <row r="6" spans="2:10" x14ac:dyDescent="0.3">
      <c r="B6" s="7" t="s">
        <v>10</v>
      </c>
      <c r="C6" s="8" t="s">
        <v>44</v>
      </c>
      <c r="D6" s="4" t="s">
        <v>45</v>
      </c>
      <c r="E6" t="s">
        <v>46</v>
      </c>
      <c r="F6">
        <v>0.49633333333333302</v>
      </c>
      <c r="G6" s="1">
        <f>AVERAGE(F6:F6)</f>
        <v>0.49633333333333302</v>
      </c>
      <c r="H6">
        <f>_xlfn.STDEV.P(F6:F6)</f>
        <v>0</v>
      </c>
      <c r="I6" s="9" t="s">
        <v>47</v>
      </c>
      <c r="J6" t="s">
        <v>48</v>
      </c>
    </row>
    <row r="7" spans="2:10" x14ac:dyDescent="0.3">
      <c r="B7" s="7" t="s">
        <v>10</v>
      </c>
      <c r="C7" s="8" t="s">
        <v>49</v>
      </c>
      <c r="D7" s="4" t="s">
        <v>50</v>
      </c>
      <c r="E7" t="s">
        <v>51</v>
      </c>
      <c r="F7">
        <v>1.0718750000000001E-2</v>
      </c>
      <c r="G7" s="1">
        <f>AVERAGE(F7:F7)</f>
        <v>1.0718750000000001E-2</v>
      </c>
      <c r="H7">
        <v>0</v>
      </c>
      <c r="I7" t="s">
        <v>52</v>
      </c>
    </row>
    <row r="8" spans="2:10" x14ac:dyDescent="0.3">
      <c r="B8" s="7" t="s">
        <v>10</v>
      </c>
      <c r="C8" s="8" t="s">
        <v>53</v>
      </c>
      <c r="D8" s="4" t="s">
        <v>54</v>
      </c>
      <c r="E8" t="s">
        <v>55</v>
      </c>
      <c r="F8">
        <v>0.48641765151515143</v>
      </c>
      <c r="G8" s="1">
        <f>AVERAGE(F8:F12)</f>
        <v>0.33087648399945879</v>
      </c>
      <c r="H8">
        <f>_xlfn.STDEV.P(F8:F9)</f>
        <v>8.6414179611742539E-2</v>
      </c>
      <c r="I8" s="9" t="s">
        <v>56</v>
      </c>
      <c r="J8" t="s">
        <v>57</v>
      </c>
    </row>
    <row r="9" spans="2:10" x14ac:dyDescent="0.3">
      <c r="B9" s="7" t="s">
        <v>10</v>
      </c>
      <c r="C9" s="8" t="s">
        <v>33</v>
      </c>
      <c r="D9" s="4" t="s">
        <v>58</v>
      </c>
      <c r="E9" t="s">
        <v>59</v>
      </c>
      <c r="F9">
        <v>0.3135892922916666</v>
      </c>
      <c r="I9" s="9" t="s">
        <v>60</v>
      </c>
    </row>
    <row r="10" spans="2:10" x14ac:dyDescent="0.3">
      <c r="B10" s="7" t="s">
        <v>10</v>
      </c>
      <c r="C10" s="8"/>
      <c r="D10">
        <v>0.41</v>
      </c>
      <c r="E10" t="s">
        <v>61</v>
      </c>
      <c r="F10">
        <v>0.29018433333333327</v>
      </c>
      <c r="I10" t="s">
        <v>62</v>
      </c>
    </row>
    <row r="11" spans="2:10" x14ac:dyDescent="0.3">
      <c r="B11" s="7" t="s">
        <v>10</v>
      </c>
      <c r="C11" s="8"/>
      <c r="D11" s="4" t="s">
        <v>63</v>
      </c>
      <c r="E11" t="s">
        <v>61</v>
      </c>
      <c r="F11">
        <v>0.28108447619047616</v>
      </c>
      <c r="I11" t="s">
        <v>64</v>
      </c>
    </row>
    <row r="12" spans="2:10" x14ac:dyDescent="0.3">
      <c r="B12" s="7" t="s">
        <v>10</v>
      </c>
      <c r="C12" s="8"/>
      <c r="D12" s="4" t="s">
        <v>65</v>
      </c>
      <c r="E12" t="s">
        <v>61</v>
      </c>
      <c r="F12">
        <v>0.28310666666666662</v>
      </c>
      <c r="I12" t="s">
        <v>66</v>
      </c>
    </row>
    <row r="13" spans="2:10" x14ac:dyDescent="0.3">
      <c r="B13" s="7" t="s">
        <v>10</v>
      </c>
      <c r="C13" s="8" t="s">
        <v>67</v>
      </c>
      <c r="D13" s="4">
        <v>21.5</v>
      </c>
      <c r="E13" t="s">
        <v>68</v>
      </c>
      <c r="F13" s="4">
        <v>0.215</v>
      </c>
      <c r="G13" s="1">
        <f>AVERAGE(F13:F17)</f>
        <v>0.16803900115226336</v>
      </c>
      <c r="H13">
        <f>_xlfn.STDEV.P(F13:F14)</f>
        <v>2.9990888888888817E-2</v>
      </c>
      <c r="I13" s="9" t="s">
        <v>69</v>
      </c>
      <c r="J13" t="s">
        <v>70</v>
      </c>
    </row>
    <row r="14" spans="2:10" x14ac:dyDescent="0.3">
      <c r="B14" s="7" t="s">
        <v>10</v>
      </c>
      <c r="C14" s="8" t="s">
        <v>33</v>
      </c>
      <c r="D14" s="4" t="s">
        <v>71</v>
      </c>
      <c r="E14" t="s">
        <v>72</v>
      </c>
      <c r="F14">
        <v>0.15501822222222222</v>
      </c>
      <c r="I14" s="9" t="s">
        <v>73</v>
      </c>
      <c r="J14" s="11" t="s">
        <v>74</v>
      </c>
    </row>
    <row r="15" spans="2:10" x14ac:dyDescent="0.3">
      <c r="B15" s="7" t="s">
        <v>10</v>
      </c>
      <c r="C15" s="8"/>
      <c r="D15" s="4" t="s">
        <v>75</v>
      </c>
      <c r="E15" t="s">
        <v>76</v>
      </c>
      <c r="F15">
        <v>0.16755902222222224</v>
      </c>
      <c r="I15" t="s">
        <v>77</v>
      </c>
      <c r="J15" s="11"/>
    </row>
    <row r="16" spans="2:10" x14ac:dyDescent="0.3">
      <c r="B16" s="7" t="s">
        <v>10</v>
      </c>
      <c r="C16" s="8"/>
      <c r="D16" s="4" t="s">
        <v>78</v>
      </c>
      <c r="E16" t="s">
        <v>79</v>
      </c>
      <c r="F16">
        <v>0.14759953909465021</v>
      </c>
      <c r="I16" t="s">
        <v>80</v>
      </c>
      <c r="J16" s="11"/>
    </row>
    <row r="17" spans="2:10" x14ac:dyDescent="0.3">
      <c r="B17" s="7" t="s">
        <v>10</v>
      </c>
      <c r="C17" s="8"/>
      <c r="D17" s="4" t="s">
        <v>81</v>
      </c>
      <c r="E17" t="s">
        <v>82</v>
      </c>
      <c r="F17">
        <v>0.15501822222222222</v>
      </c>
      <c r="I17" t="s">
        <v>83</v>
      </c>
      <c r="J17" s="11"/>
    </row>
    <row r="18" spans="2:10" x14ac:dyDescent="0.3">
      <c r="B18" s="7" t="s">
        <v>10</v>
      </c>
      <c r="C18" s="8" t="s">
        <v>84</v>
      </c>
      <c r="D18" s="4">
        <f>[1]Wheat!$E$177</f>
        <v>0.21377774000000002</v>
      </c>
      <c r="E18" s="4" t="s">
        <v>85</v>
      </c>
      <c r="F18" s="4">
        <v>0.10688887000000001</v>
      </c>
      <c r="G18" s="1">
        <f>F18</f>
        <v>0.10688887000000001</v>
      </c>
      <c r="I18" s="12" t="s">
        <v>86</v>
      </c>
    </row>
    <row r="19" spans="2:10" x14ac:dyDescent="0.3">
      <c r="B19" s="7" t="s">
        <v>10</v>
      </c>
      <c r="C19" s="8" t="s">
        <v>3</v>
      </c>
      <c r="D19" s="4" t="s">
        <v>87</v>
      </c>
      <c r="E19" t="s">
        <v>88</v>
      </c>
      <c r="F19" s="4">
        <v>7.0861753157894752E-2</v>
      </c>
      <c r="G19" s="1">
        <f>AVERAGE(F19:F23)</f>
        <v>7.1444493113859669E-2</v>
      </c>
      <c r="H19">
        <f>_xlfn.STDEV.P(F19:F22)</f>
        <v>1.4604837426856123E-3</v>
      </c>
      <c r="I19" s="9" t="s">
        <v>89</v>
      </c>
      <c r="J19" t="s">
        <v>90</v>
      </c>
    </row>
    <row r="20" spans="2:10" x14ac:dyDescent="0.3">
      <c r="B20" s="7" t="s">
        <v>10</v>
      </c>
      <c r="C20" s="8" t="s">
        <v>33</v>
      </c>
      <c r="D20" s="4">
        <v>0.45989999999999998</v>
      </c>
      <c r="E20" t="s">
        <v>88</v>
      </c>
      <c r="F20" s="4">
        <v>7.1798458421052647E-2</v>
      </c>
      <c r="I20" s="9" t="s">
        <v>91</v>
      </c>
    </row>
    <row r="21" spans="2:10" x14ac:dyDescent="0.3">
      <c r="B21" s="7" t="s">
        <v>10</v>
      </c>
      <c r="C21" s="8" t="s">
        <v>33</v>
      </c>
      <c r="D21" s="4">
        <v>0.91</v>
      </c>
      <c r="E21" t="s">
        <v>92</v>
      </c>
      <c r="F21" s="4">
        <v>7.2596219070175452E-2</v>
      </c>
      <c r="I21" s="9" t="s">
        <v>93</v>
      </c>
      <c r="J21" t="s">
        <v>94</v>
      </c>
    </row>
    <row r="22" spans="2:10" x14ac:dyDescent="0.3">
      <c r="B22" s="7" t="s">
        <v>10</v>
      </c>
      <c r="C22" s="8" t="s">
        <v>33</v>
      </c>
      <c r="D22">
        <f>0.44</f>
        <v>0.44</v>
      </c>
      <c r="E22" t="s">
        <v>88</v>
      </c>
      <c r="F22" s="4">
        <v>6.8691719298245635E-2</v>
      </c>
      <c r="I22" t="s">
        <v>95</v>
      </c>
    </row>
    <row r="23" spans="2:10" x14ac:dyDescent="0.3">
      <c r="B23" s="7" t="s">
        <v>10</v>
      </c>
      <c r="C23" s="8"/>
      <c r="D23" t="s">
        <v>96</v>
      </c>
      <c r="E23" t="s">
        <v>92</v>
      </c>
      <c r="F23" s="4">
        <v>7.3274315621929834E-2</v>
      </c>
      <c r="I23" t="s">
        <v>97</v>
      </c>
    </row>
    <row r="24" spans="2:10" x14ac:dyDescent="0.3">
      <c r="B24" s="7" t="s">
        <v>10</v>
      </c>
      <c r="C24" s="8" t="s">
        <v>8</v>
      </c>
      <c r="D24" s="4">
        <v>26</v>
      </c>
      <c r="E24" t="s">
        <v>98</v>
      </c>
      <c r="F24" s="4">
        <v>2.0514000000000001E-2</v>
      </c>
      <c r="G24" s="1">
        <f>F24</f>
        <v>2.0514000000000001E-2</v>
      </c>
      <c r="H24">
        <f>_xlfn.STDEV.P(F24)</f>
        <v>0</v>
      </c>
      <c r="I24" s="9" t="s">
        <v>99</v>
      </c>
      <c r="J24" t="s">
        <v>100</v>
      </c>
    </row>
    <row r="25" spans="2:10" x14ac:dyDescent="0.3">
      <c r="B25" s="7" t="s">
        <v>10</v>
      </c>
      <c r="C25" s="8" t="s">
        <v>101</v>
      </c>
      <c r="D25" s="4">
        <v>5.21</v>
      </c>
      <c r="E25" t="s">
        <v>102</v>
      </c>
      <c r="F25" s="4">
        <v>5.21E-2</v>
      </c>
      <c r="G25" s="1">
        <f>AVERAGE(F25:F25)</f>
        <v>5.21E-2</v>
      </c>
      <c r="H25">
        <f>_xlfn.STDEV.P(F25:F25)</f>
        <v>0</v>
      </c>
      <c r="I25" s="9" t="s">
        <v>103</v>
      </c>
      <c r="J25" t="s">
        <v>104</v>
      </c>
    </row>
    <row r="26" spans="2:10" x14ac:dyDescent="0.3">
      <c r="B26" s="7" t="s">
        <v>10</v>
      </c>
      <c r="C26" s="8" t="s">
        <v>105</v>
      </c>
      <c r="D26" s="4" t="s">
        <v>106</v>
      </c>
      <c r="E26" t="s">
        <v>107</v>
      </c>
      <c r="F26">
        <v>7.6841939062500003E-2</v>
      </c>
      <c r="G26" s="1">
        <f>AVERAGE(F26:F30)</f>
        <v>7.5810082705287524E-2</v>
      </c>
      <c r="H26">
        <f>_xlfn.STDEV.P(F26:F28)</f>
        <v>1.0343386860535941E-2</v>
      </c>
      <c r="I26" s="9" t="s">
        <v>108</v>
      </c>
      <c r="J26" t="s">
        <v>109</v>
      </c>
    </row>
    <row r="27" spans="2:10" x14ac:dyDescent="0.3">
      <c r="B27" s="7" t="s">
        <v>10</v>
      </c>
      <c r="C27" s="8" t="s">
        <v>33</v>
      </c>
      <c r="D27" s="4" t="s">
        <v>110</v>
      </c>
      <c r="E27" t="s">
        <v>107</v>
      </c>
      <c r="F27" s="4">
        <v>6.9086666000000005E-2</v>
      </c>
      <c r="I27" s="9" t="s">
        <v>111</v>
      </c>
      <c r="J27" t="s">
        <v>112</v>
      </c>
    </row>
    <row r="28" spans="2:10" x14ac:dyDescent="0.3">
      <c r="B28" s="7" t="s">
        <v>10</v>
      </c>
      <c r="C28" s="8" t="s">
        <v>33</v>
      </c>
      <c r="D28" s="4">
        <v>85</v>
      </c>
      <c r="E28" t="s">
        <v>107</v>
      </c>
      <c r="F28" s="4">
        <v>9.3852749999999999E-2</v>
      </c>
      <c r="I28" s="9" t="s">
        <v>113</v>
      </c>
      <c r="J28" t="s">
        <v>114</v>
      </c>
    </row>
    <row r="29" spans="2:10" x14ac:dyDescent="0.3">
      <c r="B29" s="7" t="s">
        <v>10</v>
      </c>
      <c r="C29" s="8"/>
      <c r="D29" s="4" t="s">
        <v>115</v>
      </c>
      <c r="E29" t="s">
        <v>61</v>
      </c>
      <c r="F29" s="4">
        <v>6.6326475586744635E-2</v>
      </c>
      <c r="I29" t="s">
        <v>116</v>
      </c>
    </row>
    <row r="30" spans="2:10" x14ac:dyDescent="0.3">
      <c r="B30" s="7" t="s">
        <v>10</v>
      </c>
      <c r="C30" s="8"/>
      <c r="D30" s="4" t="s">
        <v>117</v>
      </c>
      <c r="E30" t="s">
        <v>61</v>
      </c>
      <c r="F30" s="4">
        <v>7.2942582877192963E-2</v>
      </c>
      <c r="I30" t="s">
        <v>118</v>
      </c>
    </row>
    <row r="31" spans="2:10" x14ac:dyDescent="0.3">
      <c r="B31" s="7" t="s">
        <v>10</v>
      </c>
      <c r="C31" s="8" t="s">
        <v>119</v>
      </c>
      <c r="D31" s="4" t="s">
        <v>120</v>
      </c>
      <c r="E31" t="s">
        <v>107</v>
      </c>
      <c r="F31" s="13">
        <v>0.20323429279999999</v>
      </c>
      <c r="G31" s="1">
        <f>AVERAGE(F31:F35)</f>
        <v>0.23524062044571417</v>
      </c>
      <c r="H31">
        <f>_xlfn.STDEV.P(F31:F35)</f>
        <v>7.5759782205164869E-2</v>
      </c>
      <c r="I31" s="9" t="s">
        <v>108</v>
      </c>
      <c r="J31" t="s">
        <v>109</v>
      </c>
    </row>
    <row r="32" spans="2:10" x14ac:dyDescent="0.3">
      <c r="B32" s="7" t="s">
        <v>10</v>
      </c>
      <c r="C32" s="8" t="s">
        <v>33</v>
      </c>
      <c r="D32" s="4" t="s">
        <v>121</v>
      </c>
      <c r="E32" t="s">
        <v>122</v>
      </c>
      <c r="F32" s="4">
        <v>0.32550457142857098</v>
      </c>
      <c r="I32" s="9" t="s">
        <v>123</v>
      </c>
    </row>
    <row r="33" spans="2:10" x14ac:dyDescent="0.3">
      <c r="B33" s="7" t="s">
        <v>10</v>
      </c>
      <c r="C33" s="8" t="s">
        <v>33</v>
      </c>
      <c r="D33" s="4">
        <v>210</v>
      </c>
      <c r="E33" t="s">
        <v>124</v>
      </c>
      <c r="F33" s="4">
        <v>0.21</v>
      </c>
      <c r="I33" s="9" t="s">
        <v>125</v>
      </c>
    </row>
    <row r="34" spans="2:10" x14ac:dyDescent="0.3">
      <c r="B34" s="7" t="s">
        <v>10</v>
      </c>
      <c r="C34" s="8" t="s">
        <v>33</v>
      </c>
      <c r="D34" s="4" t="s">
        <v>126</v>
      </c>
      <c r="E34" t="s">
        <v>127</v>
      </c>
      <c r="F34" s="4">
        <v>0.122962638</v>
      </c>
      <c r="I34" s="9" t="s">
        <v>128</v>
      </c>
      <c r="J34" t="s">
        <v>129</v>
      </c>
    </row>
    <row r="35" spans="2:10" x14ac:dyDescent="0.3">
      <c r="B35" s="7" t="s">
        <v>10</v>
      </c>
      <c r="C35" s="8" t="s">
        <v>33</v>
      </c>
      <c r="D35" s="4" t="s">
        <v>130</v>
      </c>
      <c r="E35" t="s">
        <v>131</v>
      </c>
      <c r="F35" s="4">
        <v>0.31450159999999999</v>
      </c>
      <c r="I35" s="9" t="s">
        <v>132</v>
      </c>
    </row>
    <row r="36" spans="2:10" x14ac:dyDescent="0.3">
      <c r="B36" s="7" t="s">
        <v>10</v>
      </c>
      <c r="C36" s="8" t="s">
        <v>133</v>
      </c>
      <c r="D36" s="4" t="s">
        <v>134</v>
      </c>
      <c r="E36" t="s">
        <v>135</v>
      </c>
      <c r="F36" s="4">
        <v>0.11454345</v>
      </c>
      <c r="G36" s="1">
        <f>AVERAGE(F36:F40)</f>
        <v>9.8884795063157907E-2</v>
      </c>
      <c r="H36">
        <f>_xlfn.STDEV.P(F36:F39)</f>
        <v>3.1329519127786302E-2</v>
      </c>
      <c r="I36" s="9" t="s">
        <v>136</v>
      </c>
    </row>
    <row r="37" spans="2:10" x14ac:dyDescent="0.3">
      <c r="B37" s="7" t="s">
        <v>10</v>
      </c>
      <c r="C37" s="8" t="s">
        <v>33</v>
      </c>
      <c r="D37" s="4" t="s">
        <v>137</v>
      </c>
      <c r="E37" t="s">
        <v>138</v>
      </c>
      <c r="F37" s="4">
        <v>9.0550231999999994E-2</v>
      </c>
      <c r="I37" s="9" t="s">
        <v>139</v>
      </c>
    </row>
    <row r="38" spans="2:10" x14ac:dyDescent="0.3">
      <c r="B38" s="7" t="s">
        <v>10</v>
      </c>
      <c r="C38" s="8" t="s">
        <v>33</v>
      </c>
      <c r="D38" s="4" t="s">
        <v>140</v>
      </c>
      <c r="E38" t="s">
        <v>141</v>
      </c>
      <c r="F38" s="4">
        <v>0.140666975</v>
      </c>
      <c r="I38" s="9" t="s">
        <v>142</v>
      </c>
      <c r="J38" t="s">
        <v>143</v>
      </c>
    </row>
    <row r="39" spans="2:10" x14ac:dyDescent="0.3">
      <c r="B39" s="7" t="s">
        <v>10</v>
      </c>
      <c r="C39" s="8" t="s">
        <v>33</v>
      </c>
      <c r="D39" s="4">
        <v>46.2</v>
      </c>
      <c r="E39" t="s">
        <v>138</v>
      </c>
      <c r="F39" s="4">
        <v>5.5592792000000002E-2</v>
      </c>
      <c r="I39" s="9" t="s">
        <v>144</v>
      </c>
    </row>
    <row r="40" spans="2:10" x14ac:dyDescent="0.3">
      <c r="B40" s="7" t="s">
        <v>10</v>
      </c>
      <c r="C40" s="8"/>
      <c r="D40" s="4" t="s">
        <v>145</v>
      </c>
      <c r="E40" t="s">
        <v>61</v>
      </c>
      <c r="F40" s="4">
        <v>9.3070526315789465E-2</v>
      </c>
      <c r="I40" t="s">
        <v>146</v>
      </c>
    </row>
    <row r="41" spans="2:10" x14ac:dyDescent="0.3">
      <c r="B41" s="7" t="s">
        <v>10</v>
      </c>
      <c r="C41" s="8" t="s">
        <v>4</v>
      </c>
      <c r="D41" s="4">
        <v>490.4</v>
      </c>
      <c r="E41" t="s">
        <v>147</v>
      </c>
      <c r="F41" s="4">
        <v>8.4476304000000002E-2</v>
      </c>
      <c r="G41" s="1">
        <f>AVERAGE(F41:F45)</f>
        <v>7.448835328466033E-2</v>
      </c>
      <c r="H41">
        <f>_xlfn.STDEV.P(F41:F44)</f>
        <v>1.2196252270089964E-2</v>
      </c>
      <c r="I41" s="9" t="s">
        <v>148</v>
      </c>
      <c r="J41" t="s">
        <v>149</v>
      </c>
    </row>
    <row r="42" spans="2:10" x14ac:dyDescent="0.3">
      <c r="B42" s="7" t="s">
        <v>10</v>
      </c>
      <c r="C42" s="8" t="s">
        <v>33</v>
      </c>
      <c r="D42" s="4" t="s">
        <v>150</v>
      </c>
      <c r="E42" t="s">
        <v>151</v>
      </c>
      <c r="F42" s="4">
        <v>8.2867142857142875E-2</v>
      </c>
      <c r="I42" s="9" t="s">
        <v>152</v>
      </c>
      <c r="J42" t="s">
        <v>153</v>
      </c>
    </row>
    <row r="43" spans="2:10" x14ac:dyDescent="0.3">
      <c r="B43" s="7" t="s">
        <v>10</v>
      </c>
      <c r="C43" s="8" t="s">
        <v>33</v>
      </c>
      <c r="D43" s="4">
        <v>3.55</v>
      </c>
      <c r="E43" t="s">
        <v>154</v>
      </c>
      <c r="F43" s="4">
        <v>6.4643023255813961E-2</v>
      </c>
      <c r="I43" t="s">
        <v>155</v>
      </c>
      <c r="J43" t="s">
        <v>156</v>
      </c>
    </row>
    <row r="44" spans="2:10" x14ac:dyDescent="0.3">
      <c r="B44" s="7" t="s">
        <v>10</v>
      </c>
      <c r="C44" s="8" t="s">
        <v>33</v>
      </c>
      <c r="D44" s="4" t="s">
        <v>157</v>
      </c>
      <c r="E44" t="s">
        <v>158</v>
      </c>
      <c r="F44" s="4">
        <v>5.565532831034483E-2</v>
      </c>
      <c r="I44" t="s">
        <v>159</v>
      </c>
      <c r="J44" t="s">
        <v>160</v>
      </c>
    </row>
    <row r="45" spans="2:10" x14ac:dyDescent="0.3">
      <c r="B45" s="7" t="s">
        <v>10</v>
      </c>
      <c r="C45" s="8"/>
      <c r="D45" t="s">
        <v>161</v>
      </c>
      <c r="E45" t="s">
        <v>162</v>
      </c>
      <c r="F45" s="4">
        <v>8.4799967999999989E-2</v>
      </c>
      <c r="I45" t="s">
        <v>163</v>
      </c>
      <c r="J45" t="s">
        <v>164</v>
      </c>
    </row>
    <row r="46" spans="2:10" x14ac:dyDescent="0.3">
      <c r="B46" s="7" t="s">
        <v>10</v>
      </c>
      <c r="C46" s="8" t="s">
        <v>165</v>
      </c>
      <c r="D46" s="4" t="s">
        <v>166</v>
      </c>
      <c r="E46" t="s">
        <v>167</v>
      </c>
      <c r="F46" s="4">
        <v>2.5959999999999997E-2</v>
      </c>
      <c r="G46" s="1">
        <f>AVERAGE(F46:F50)</f>
        <v>5.3518845188938589E-2</v>
      </c>
      <c r="H46">
        <f>_xlfn.STDEV.P(F46:F50)</f>
        <v>2.3968764423188377E-2</v>
      </c>
      <c r="I46" s="9" t="s">
        <v>168</v>
      </c>
      <c r="J46" t="s">
        <v>169</v>
      </c>
    </row>
    <row r="47" spans="2:10" x14ac:dyDescent="0.3">
      <c r="B47" s="7" t="s">
        <v>10</v>
      </c>
      <c r="C47" s="8" t="s">
        <v>33</v>
      </c>
      <c r="D47" s="4" t="s">
        <v>170</v>
      </c>
      <c r="E47" t="s">
        <v>171</v>
      </c>
      <c r="F47" s="4">
        <v>6.5289749999999994E-2</v>
      </c>
      <c r="I47" s="9" t="s">
        <v>172</v>
      </c>
      <c r="J47" t="s">
        <v>173</v>
      </c>
    </row>
    <row r="48" spans="2:10" x14ac:dyDescent="0.3">
      <c r="B48" s="7" t="s">
        <v>10</v>
      </c>
      <c r="C48" s="8" t="s">
        <v>33</v>
      </c>
      <c r="D48" s="4">
        <v>97.5</v>
      </c>
      <c r="E48" t="s">
        <v>174</v>
      </c>
      <c r="F48" s="4">
        <v>5.2468939867500002E-2</v>
      </c>
      <c r="I48" s="9" t="s">
        <v>175</v>
      </c>
    </row>
    <row r="49" spans="2:10" x14ac:dyDescent="0.3">
      <c r="B49" s="7" t="s">
        <v>10</v>
      </c>
      <c r="C49" s="8" t="s">
        <v>33</v>
      </c>
      <c r="D49" s="4" t="s">
        <v>176</v>
      </c>
      <c r="E49" t="s">
        <v>177</v>
      </c>
      <c r="F49" s="4">
        <v>9.219999999999999E-2</v>
      </c>
      <c r="I49" s="9" t="s">
        <v>178</v>
      </c>
    </row>
    <row r="50" spans="2:10" x14ac:dyDescent="0.3">
      <c r="B50" s="7" t="s">
        <v>10</v>
      </c>
      <c r="C50" s="8" t="s">
        <v>33</v>
      </c>
      <c r="D50" s="4">
        <v>0.32</v>
      </c>
      <c r="E50" t="s">
        <v>179</v>
      </c>
      <c r="F50" s="4">
        <v>3.1675536077192992E-2</v>
      </c>
      <c r="I50" s="9" t="s">
        <v>180</v>
      </c>
    </row>
    <row r="51" spans="2:10" x14ac:dyDescent="0.3">
      <c r="B51" s="7" t="s">
        <v>10</v>
      </c>
      <c r="C51" s="8" t="s">
        <v>181</v>
      </c>
      <c r="D51" s="4" t="s">
        <v>182</v>
      </c>
      <c r="E51" t="s">
        <v>179</v>
      </c>
      <c r="F51" s="4">
        <v>0.10270017096491227</v>
      </c>
      <c r="G51" s="1">
        <f>AVERAGE(F51:F55)</f>
        <v>0.12087476848874665</v>
      </c>
      <c r="H51">
        <f>_xlfn.STDEV.P(F51:F55)</f>
        <v>2.8124338852850869E-2</v>
      </c>
      <c r="I51" s="9" t="s">
        <v>183</v>
      </c>
      <c r="J51" t="s">
        <v>184</v>
      </c>
    </row>
    <row r="52" spans="2:10" x14ac:dyDescent="0.3">
      <c r="B52" s="7" t="s">
        <v>10</v>
      </c>
      <c r="C52" s="8" t="s">
        <v>33</v>
      </c>
      <c r="D52" s="4" t="s">
        <v>185</v>
      </c>
      <c r="E52" t="s">
        <v>186</v>
      </c>
      <c r="F52" s="4">
        <v>9.633064283578946E-2</v>
      </c>
      <c r="I52" s="9" t="s">
        <v>187</v>
      </c>
    </row>
    <row r="53" spans="2:10" x14ac:dyDescent="0.3">
      <c r="B53" s="7" t="s">
        <v>10</v>
      </c>
      <c r="C53" s="8" t="s">
        <v>33</v>
      </c>
      <c r="D53" s="4" t="s">
        <v>188</v>
      </c>
      <c r="E53" t="s">
        <v>189</v>
      </c>
      <c r="F53" s="4">
        <v>0.16788166666666665</v>
      </c>
      <c r="I53" s="9" t="s">
        <v>190</v>
      </c>
      <c r="J53" t="s">
        <v>191</v>
      </c>
    </row>
    <row r="54" spans="2:10" x14ac:dyDescent="0.3">
      <c r="B54" s="7" t="s">
        <v>10</v>
      </c>
      <c r="C54" s="8" t="s">
        <v>33</v>
      </c>
      <c r="D54" s="4" t="s">
        <v>192</v>
      </c>
      <c r="E54" t="s">
        <v>193</v>
      </c>
      <c r="F54" s="4">
        <v>9.8689231669347371E-2</v>
      </c>
      <c r="I54" s="9" t="s">
        <v>194</v>
      </c>
      <c r="J54" t="s">
        <v>195</v>
      </c>
    </row>
    <row r="55" spans="2:10" x14ac:dyDescent="0.3">
      <c r="B55" s="7" t="s">
        <v>10</v>
      </c>
      <c r="C55" s="8"/>
      <c r="D55" s="4" t="s">
        <v>196</v>
      </c>
      <c r="E55" t="s">
        <v>197</v>
      </c>
      <c r="F55" s="4">
        <v>0.13877213030701752</v>
      </c>
      <c r="I55" s="9"/>
    </row>
    <row r="56" spans="2:10" x14ac:dyDescent="0.3">
      <c r="B56" s="7" t="s">
        <v>10</v>
      </c>
      <c r="C56" s="8" t="s">
        <v>198</v>
      </c>
      <c r="D56" s="4" t="s">
        <v>199</v>
      </c>
      <c r="E56" t="s">
        <v>200</v>
      </c>
      <c r="F56" s="4">
        <v>0.39</v>
      </c>
      <c r="G56" s="1">
        <f>AVERAGE(F56:F60)</f>
        <v>0.40391841102724513</v>
      </c>
      <c r="H56">
        <f>_xlfn.STDEV.P(F56:F60)</f>
        <v>1.44815206334599E-2</v>
      </c>
      <c r="I56" s="9" t="s">
        <v>201</v>
      </c>
    </row>
    <row r="57" spans="2:10" x14ac:dyDescent="0.3">
      <c r="B57" s="7" t="s">
        <v>10</v>
      </c>
      <c r="C57" s="6" t="s">
        <v>33</v>
      </c>
      <c r="D57" s="4" t="s">
        <v>202</v>
      </c>
      <c r="E57" t="s">
        <v>203</v>
      </c>
      <c r="F57" s="14">
        <v>0.38400214999999999</v>
      </c>
      <c r="I57" s="9" t="s">
        <v>204</v>
      </c>
    </row>
    <row r="58" spans="2:10" x14ac:dyDescent="0.3">
      <c r="B58" s="7" t="s">
        <v>10</v>
      </c>
      <c r="C58" s="8" t="s">
        <v>33</v>
      </c>
      <c r="D58" s="4">
        <v>53.18</v>
      </c>
      <c r="E58" t="s">
        <v>200</v>
      </c>
      <c r="F58" s="14">
        <v>0.40985948888888879</v>
      </c>
      <c r="I58" s="9" t="s">
        <v>205</v>
      </c>
    </row>
    <row r="59" spans="2:10" x14ac:dyDescent="0.3">
      <c r="B59" s="7" t="s">
        <v>10</v>
      </c>
      <c r="C59" s="8" t="s">
        <v>33</v>
      </c>
      <c r="D59" s="4" t="s">
        <v>206</v>
      </c>
      <c r="E59" t="s">
        <v>200</v>
      </c>
      <c r="F59" s="4">
        <v>0.41375000000000001</v>
      </c>
      <c r="I59" t="s">
        <v>207</v>
      </c>
    </row>
    <row r="60" spans="2:10" x14ac:dyDescent="0.3">
      <c r="B60" s="7" t="s">
        <v>10</v>
      </c>
      <c r="C60" s="8" t="s">
        <v>33</v>
      </c>
      <c r="D60" s="4" t="s">
        <v>208</v>
      </c>
      <c r="E60" t="s">
        <v>200</v>
      </c>
      <c r="F60" s="4">
        <v>0.42198041624733668</v>
      </c>
      <c r="I60" t="s">
        <v>207</v>
      </c>
    </row>
    <row r="61" spans="2:10" x14ac:dyDescent="0.3">
      <c r="B61" s="7" t="s">
        <v>10</v>
      </c>
      <c r="C61" s="8" t="s">
        <v>209</v>
      </c>
      <c r="D61" s="4">
        <v>0.47</v>
      </c>
      <c r="E61" t="s">
        <v>210</v>
      </c>
      <c r="F61" s="4">
        <v>0.16487599999999999</v>
      </c>
      <c r="G61" s="1">
        <f>AVERAGE(F61:F66)</f>
        <v>0.20742576935916665</v>
      </c>
      <c r="H61">
        <f>_xlfn.STDEV.P(F61:F66)</f>
        <v>4.7144499738099192E-2</v>
      </c>
      <c r="I61" s="9" t="s">
        <v>211</v>
      </c>
    </row>
    <row r="62" spans="2:10" x14ac:dyDescent="0.3">
      <c r="B62" s="7" t="s">
        <v>10</v>
      </c>
      <c r="C62" s="8" t="s">
        <v>33</v>
      </c>
      <c r="D62" s="4">
        <f>(0.30155+0.3052333)/2</f>
        <v>0.30339165000000001</v>
      </c>
      <c r="E62" t="s">
        <v>212</v>
      </c>
      <c r="F62" s="4">
        <v>0.14584036615500001</v>
      </c>
      <c r="I62" s="9" t="s">
        <v>213</v>
      </c>
    </row>
    <row r="63" spans="2:10" x14ac:dyDescent="0.3">
      <c r="B63" s="7" t="s">
        <v>10</v>
      </c>
      <c r="C63" s="8" t="s">
        <v>33</v>
      </c>
      <c r="D63" s="4">
        <f>AVERAGE(0.45,0.62)</f>
        <v>0.53500000000000003</v>
      </c>
      <c r="E63" t="s">
        <v>212</v>
      </c>
      <c r="F63" s="4">
        <v>0.25717450000000003</v>
      </c>
      <c r="I63" s="9" t="s">
        <v>214</v>
      </c>
    </row>
    <row r="64" spans="2:10" x14ac:dyDescent="0.3">
      <c r="B64" s="7" t="s">
        <v>10</v>
      </c>
      <c r="C64" s="8" t="s">
        <v>33</v>
      </c>
      <c r="D64" s="4">
        <v>0.52</v>
      </c>
      <c r="E64" t="s">
        <v>215</v>
      </c>
      <c r="F64" s="4">
        <v>0.18241599999999999</v>
      </c>
      <c r="I64" s="9" t="s">
        <v>216</v>
      </c>
    </row>
    <row r="65" spans="2:10" x14ac:dyDescent="0.3">
      <c r="B65" s="7" t="s">
        <v>10</v>
      </c>
      <c r="C65" s="8" t="s">
        <v>33</v>
      </c>
      <c r="D65" s="15">
        <v>347.25</v>
      </c>
      <c r="E65" t="s">
        <v>217</v>
      </c>
      <c r="F65" s="4">
        <v>0.2743275</v>
      </c>
      <c r="I65" s="9" t="s">
        <v>218</v>
      </c>
    </row>
    <row r="66" spans="2:10" x14ac:dyDescent="0.3">
      <c r="B66" s="7" t="s">
        <v>10</v>
      </c>
      <c r="C66" s="8" t="s">
        <v>33</v>
      </c>
      <c r="D66" s="4">
        <v>0.45750000000000002</v>
      </c>
      <c r="E66" t="s">
        <v>219</v>
      </c>
      <c r="F66" s="4">
        <v>0.21992025000000001</v>
      </c>
      <c r="I66" s="9" t="s">
        <v>220</v>
      </c>
    </row>
    <row r="67" spans="2:10" ht="15" customHeight="1" x14ac:dyDescent="0.3">
      <c r="B67" s="7" t="s">
        <v>10</v>
      </c>
      <c r="C67" s="16" t="s">
        <v>221</v>
      </c>
      <c r="D67" s="4" t="s">
        <v>222</v>
      </c>
      <c r="E67" t="s">
        <v>223</v>
      </c>
      <c r="F67" s="4">
        <v>0.04</v>
      </c>
      <c r="G67" s="1">
        <f>AVERAGE(F67:F71)</f>
        <v>7.0427046509607377E-2</v>
      </c>
      <c r="H67">
        <f>_xlfn.STDEV.P(F67:F71)</f>
        <v>2.3642666121273522E-2</v>
      </c>
      <c r="I67" s="9" t="s">
        <v>224</v>
      </c>
      <c r="J67" s="17"/>
    </row>
    <row r="68" spans="2:10" ht="15" customHeight="1" x14ac:dyDescent="0.3">
      <c r="B68" s="7" t="s">
        <v>10</v>
      </c>
      <c r="C68" s="16" t="s">
        <v>33</v>
      </c>
      <c r="D68" s="4" t="s">
        <v>225</v>
      </c>
      <c r="E68" t="s">
        <v>226</v>
      </c>
      <c r="F68" s="4">
        <v>7.5843555555555553E-2</v>
      </c>
      <c r="I68" s="9" t="s">
        <v>227</v>
      </c>
      <c r="J68" s="17"/>
    </row>
    <row r="69" spans="2:10" ht="15" customHeight="1" x14ac:dyDescent="0.3">
      <c r="B69" s="7" t="s">
        <v>10</v>
      </c>
      <c r="C69" s="16" t="s">
        <v>33</v>
      </c>
      <c r="D69" s="4">
        <v>0.42</v>
      </c>
      <c r="E69" t="s">
        <v>226</v>
      </c>
      <c r="F69" s="4">
        <v>0.111552</v>
      </c>
      <c r="I69" t="s">
        <v>228</v>
      </c>
      <c r="J69" s="17"/>
    </row>
    <row r="70" spans="2:10" ht="15" customHeight="1" x14ac:dyDescent="0.3">
      <c r="B70" s="7" t="s">
        <v>10</v>
      </c>
      <c r="C70" s="16" t="s">
        <v>33</v>
      </c>
      <c r="D70" s="4" t="s">
        <v>229</v>
      </c>
      <c r="E70" t="s">
        <v>226</v>
      </c>
      <c r="F70" s="4">
        <v>5.931733333333334E-2</v>
      </c>
      <c r="I70" t="s">
        <v>230</v>
      </c>
      <c r="J70" s="17"/>
    </row>
    <row r="71" spans="2:10" ht="15" customHeight="1" x14ac:dyDescent="0.3">
      <c r="B71" s="7" t="s">
        <v>10</v>
      </c>
      <c r="C71" s="16" t="s">
        <v>33</v>
      </c>
      <c r="D71" s="4" t="s">
        <v>231</v>
      </c>
      <c r="E71" t="s">
        <v>232</v>
      </c>
      <c r="F71" s="4">
        <v>6.5422343659148008E-2</v>
      </c>
      <c r="I71" t="s">
        <v>233</v>
      </c>
    </row>
    <row r="72" spans="2:10" ht="15" customHeight="1" x14ac:dyDescent="0.3">
      <c r="B72" s="7" t="s">
        <v>10</v>
      </c>
      <c r="C72" s="16" t="s">
        <v>9</v>
      </c>
      <c r="D72" s="4" t="s">
        <v>234</v>
      </c>
      <c r="E72" t="s">
        <v>235</v>
      </c>
      <c r="F72" s="4">
        <v>6.0978959999999999E-2</v>
      </c>
      <c r="G72" s="1">
        <f>AVERAGE(F72:F76)</f>
        <v>5.9757173785318307E-2</v>
      </c>
      <c r="H72">
        <f>_xlfn.STDEV.P(F72:F76)</f>
        <v>1.0814667047471185E-2</v>
      </c>
      <c r="I72" t="s">
        <v>236</v>
      </c>
    </row>
    <row r="73" spans="2:10" ht="15" customHeight="1" x14ac:dyDescent="0.3">
      <c r="B73" s="7" t="s">
        <v>10</v>
      </c>
      <c r="C73" s="16" t="s">
        <v>33</v>
      </c>
      <c r="D73" s="4" t="s">
        <v>237</v>
      </c>
      <c r="E73" t="s">
        <v>226</v>
      </c>
      <c r="F73" s="4">
        <v>6.705267528421055E-2</v>
      </c>
      <c r="I73" t="s">
        <v>238</v>
      </c>
    </row>
    <row r="74" spans="2:10" ht="15" customHeight="1" x14ac:dyDescent="0.3">
      <c r="B74" s="7" t="s">
        <v>10</v>
      </c>
      <c r="C74" s="16" t="s">
        <v>33</v>
      </c>
      <c r="D74" s="4" t="s">
        <v>239</v>
      </c>
      <c r="E74" t="s">
        <v>240</v>
      </c>
      <c r="F74" s="4">
        <v>6.8000000000000005E-2</v>
      </c>
      <c r="I74" t="s">
        <v>241</v>
      </c>
    </row>
    <row r="75" spans="2:10" ht="15" customHeight="1" x14ac:dyDescent="0.3">
      <c r="B75" s="7" t="s">
        <v>10</v>
      </c>
      <c r="C75" s="16" t="s">
        <v>33</v>
      </c>
      <c r="D75" s="4" t="s">
        <v>242</v>
      </c>
      <c r="E75" t="s">
        <v>226</v>
      </c>
      <c r="F75" s="4">
        <v>6.4059252280451159E-2</v>
      </c>
      <c r="I75" t="s">
        <v>243</v>
      </c>
    </row>
    <row r="76" spans="2:10" x14ac:dyDescent="0.3">
      <c r="B76" s="7" t="s">
        <v>10</v>
      </c>
      <c r="C76" s="6" t="s">
        <v>33</v>
      </c>
      <c r="D76" s="4" t="s">
        <v>244</v>
      </c>
      <c r="E76" t="s">
        <v>226</v>
      </c>
      <c r="F76" s="4">
        <v>3.8694981361929844E-2</v>
      </c>
      <c r="I76" t="s">
        <v>245</v>
      </c>
    </row>
    <row r="77" spans="2:10" x14ac:dyDescent="0.3">
      <c r="B77" s="7" t="s">
        <v>10</v>
      </c>
      <c r="C77" s="16" t="s">
        <v>246</v>
      </c>
      <c r="D77" s="4" t="s">
        <v>247</v>
      </c>
      <c r="E77" t="s">
        <v>226</v>
      </c>
      <c r="F77" s="4">
        <v>0.24298199444444443</v>
      </c>
      <c r="G77" s="1">
        <f>AVERAGE(F77:F81)</f>
        <v>0.26593833892525254</v>
      </c>
      <c r="H77">
        <f>_xlfn.STDEV.P(F77:F81)</f>
        <v>8.4275474623405844E-2</v>
      </c>
      <c r="I77" t="s">
        <v>248</v>
      </c>
    </row>
    <row r="78" spans="2:10" x14ac:dyDescent="0.3">
      <c r="B78" s="7" t="s">
        <v>10</v>
      </c>
      <c r="C78" s="6" t="s">
        <v>33</v>
      </c>
      <c r="D78" s="4" t="s">
        <v>249</v>
      </c>
      <c r="E78" t="s">
        <v>226</v>
      </c>
      <c r="F78" s="4">
        <v>0.27048296818181822</v>
      </c>
      <c r="I78" t="s">
        <v>250</v>
      </c>
    </row>
    <row r="79" spans="2:10" x14ac:dyDescent="0.3">
      <c r="B79" s="7" t="s">
        <v>10</v>
      </c>
      <c r="C79" s="6" t="s">
        <v>33</v>
      </c>
      <c r="D79" s="4">
        <v>244.89999999999998</v>
      </c>
      <c r="E79" t="s">
        <v>251</v>
      </c>
      <c r="F79" s="4">
        <v>0.22092429</v>
      </c>
      <c r="I79" t="s">
        <v>252</v>
      </c>
    </row>
    <row r="80" spans="2:10" x14ac:dyDescent="0.3">
      <c r="B80" s="7" t="s">
        <v>10</v>
      </c>
      <c r="C80" s="6" t="s">
        <v>33</v>
      </c>
      <c r="D80" s="4">
        <v>173.3</v>
      </c>
      <c r="E80" t="s">
        <v>253</v>
      </c>
      <c r="F80" s="4">
        <v>0.17330000000000001</v>
      </c>
      <c r="I80" t="s">
        <v>254</v>
      </c>
    </row>
    <row r="81" spans="2:9" x14ac:dyDescent="0.3">
      <c r="B81" s="7" t="s">
        <v>10</v>
      </c>
      <c r="C81" s="6" t="s">
        <v>33</v>
      </c>
      <c r="D81" s="4" t="s">
        <v>255</v>
      </c>
      <c r="E81" t="s">
        <v>226</v>
      </c>
      <c r="F81" s="4">
        <v>0.42200244200000009</v>
      </c>
      <c r="I81" t="s">
        <v>256</v>
      </c>
    </row>
    <row r="82" spans="2:9" x14ac:dyDescent="0.3">
      <c r="B82" s="7" t="s">
        <v>10</v>
      </c>
      <c r="C82" s="16" t="s">
        <v>257</v>
      </c>
      <c r="D82" s="4" t="s">
        <v>258</v>
      </c>
      <c r="E82" t="s">
        <v>259</v>
      </c>
      <c r="F82" s="4">
        <v>4.6333333333333337E-2</v>
      </c>
      <c r="G82" s="1">
        <f>AVERAGE(F82:F86)</f>
        <v>4.9938420911543907E-2</v>
      </c>
      <c r="H82">
        <f>_xlfn.STDEV.P(F82:F86)</f>
        <v>2.3870481815039837E-2</v>
      </c>
      <c r="I82" t="s">
        <v>260</v>
      </c>
    </row>
    <row r="83" spans="2:9" x14ac:dyDescent="0.3">
      <c r="B83" s="7" t="s">
        <v>10</v>
      </c>
      <c r="C83" s="16" t="s">
        <v>33</v>
      </c>
      <c r="D83" s="4" t="s">
        <v>261</v>
      </c>
      <c r="E83" t="s">
        <v>262</v>
      </c>
      <c r="F83" s="4">
        <v>9.661636842105284E-2</v>
      </c>
      <c r="I83" t="s">
        <v>263</v>
      </c>
    </row>
    <row r="84" spans="2:9" x14ac:dyDescent="0.3">
      <c r="B84" s="7" t="s">
        <v>10</v>
      </c>
      <c r="C84" s="16" t="s">
        <v>33</v>
      </c>
      <c r="D84" s="4" t="s">
        <v>264</v>
      </c>
      <c r="E84" t="s">
        <v>265</v>
      </c>
      <c r="F84" s="4">
        <v>3.0570833333333339E-2</v>
      </c>
      <c r="I84" t="s">
        <v>266</v>
      </c>
    </row>
    <row r="85" spans="2:9" x14ac:dyDescent="0.3">
      <c r="B85" s="7" t="s">
        <v>10</v>
      </c>
      <c r="C85" s="6" t="s">
        <v>33</v>
      </c>
      <c r="D85" s="4">
        <v>13</v>
      </c>
      <c r="E85" t="s">
        <v>267</v>
      </c>
      <c r="F85" s="4">
        <v>3.8826950370000002E-2</v>
      </c>
      <c r="I85" t="s">
        <v>268</v>
      </c>
    </row>
    <row r="86" spans="2:9" x14ac:dyDescent="0.3">
      <c r="B86" s="7" t="s">
        <v>10</v>
      </c>
      <c r="C86" s="6" t="s">
        <v>33</v>
      </c>
      <c r="D86" s="4" t="s">
        <v>269</v>
      </c>
      <c r="E86" t="s">
        <v>270</v>
      </c>
      <c r="F86" s="4">
        <v>3.7344619099999997E-2</v>
      </c>
      <c r="I86" t="s">
        <v>271</v>
      </c>
    </row>
    <row r="87" spans="2:9" x14ac:dyDescent="0.3">
      <c r="B87" s="7" t="s">
        <v>10</v>
      </c>
      <c r="C87" s="16" t="s">
        <v>272</v>
      </c>
      <c r="D87" s="4">
        <v>80</v>
      </c>
      <c r="E87" t="s">
        <v>270</v>
      </c>
      <c r="F87" s="4">
        <v>6.4417126175438599E-2</v>
      </c>
      <c r="G87" s="1">
        <f>AVERAGE(F87:F89)</f>
        <v>6.8032373052631531E-2</v>
      </c>
      <c r="H87">
        <f>_xlfn.STDEV.P(F87:F89)</f>
        <v>2.5896002787738825E-3</v>
      </c>
      <c r="I87" t="s">
        <v>273</v>
      </c>
    </row>
    <row r="88" spans="2:9" x14ac:dyDescent="0.3">
      <c r="B88" s="7" t="s">
        <v>10</v>
      </c>
      <c r="C88" s="6" t="s">
        <v>33</v>
      </c>
      <c r="D88" s="4" t="s">
        <v>274</v>
      </c>
      <c r="E88" t="s">
        <v>275</v>
      </c>
      <c r="F88" s="4">
        <v>6.9333501754385893E-2</v>
      </c>
      <c r="I88" t="s">
        <v>276</v>
      </c>
    </row>
    <row r="89" spans="2:9" x14ac:dyDescent="0.3">
      <c r="B89" s="7" t="s">
        <v>10</v>
      </c>
      <c r="C89" s="16" t="s">
        <v>33</v>
      </c>
      <c r="D89" s="4" t="s">
        <v>277</v>
      </c>
      <c r="E89" t="s">
        <v>278</v>
      </c>
      <c r="F89" s="4">
        <v>7.0346491228070088E-2</v>
      </c>
      <c r="I89" t="s">
        <v>279</v>
      </c>
    </row>
    <row r="90" spans="2:9" x14ac:dyDescent="0.3">
      <c r="B90" s="7" t="s">
        <v>10</v>
      </c>
      <c r="C90" s="16" t="s">
        <v>280</v>
      </c>
      <c r="D90" s="4" t="s">
        <v>281</v>
      </c>
      <c r="E90" t="s">
        <v>282</v>
      </c>
      <c r="F90" s="4">
        <v>0.10514739999999999</v>
      </c>
      <c r="G90" s="1">
        <f>AVERAGE(F90:F94)</f>
        <v>5.5436494868421081E-2</v>
      </c>
      <c r="H90">
        <f>_xlfn.STDEV.P(F90:F94)</f>
        <v>2.6929848551463634E-2</v>
      </c>
      <c r="I90" t="s">
        <v>283</v>
      </c>
    </row>
    <row r="91" spans="2:9" x14ac:dyDescent="0.3">
      <c r="B91" s="7" t="s">
        <v>10</v>
      </c>
      <c r="C91" s="16" t="s">
        <v>33</v>
      </c>
      <c r="D91" s="4">
        <v>346.5</v>
      </c>
      <c r="E91" t="s">
        <v>284</v>
      </c>
      <c r="F91" s="4">
        <v>5.98720815E-2</v>
      </c>
      <c r="I91" t="s">
        <v>285</v>
      </c>
    </row>
    <row r="92" spans="2:9" x14ac:dyDescent="0.3">
      <c r="B92" s="7" t="s">
        <v>10</v>
      </c>
      <c r="C92" s="16" t="s">
        <v>33</v>
      </c>
      <c r="D92" s="4">
        <v>3.66</v>
      </c>
      <c r="E92" t="s">
        <v>286</v>
      </c>
      <c r="F92" s="4">
        <v>4.5536256000000074E-2</v>
      </c>
      <c r="I92" t="s">
        <v>287</v>
      </c>
    </row>
    <row r="93" spans="2:9" x14ac:dyDescent="0.3">
      <c r="B93" s="7" t="s">
        <v>10</v>
      </c>
      <c r="C93" s="16" t="s">
        <v>33</v>
      </c>
      <c r="D93" s="4">
        <v>0.45200000000000001</v>
      </c>
      <c r="E93" t="s">
        <v>288</v>
      </c>
      <c r="F93" s="4">
        <v>3.8714989473684222E-2</v>
      </c>
      <c r="I93" t="s">
        <v>289</v>
      </c>
    </row>
    <row r="94" spans="2:9" x14ac:dyDescent="0.3">
      <c r="B94" s="7" t="s">
        <v>10</v>
      </c>
      <c r="C94" s="16" t="s">
        <v>33</v>
      </c>
      <c r="D94" s="4" t="s">
        <v>290</v>
      </c>
      <c r="E94" t="s">
        <v>291</v>
      </c>
      <c r="F94" s="4">
        <v>2.7911747368421093E-2</v>
      </c>
      <c r="I94" t="s">
        <v>292</v>
      </c>
    </row>
    <row r="95" spans="2:9" x14ac:dyDescent="0.3">
      <c r="B95" s="7" t="s">
        <v>10</v>
      </c>
      <c r="C95" s="16" t="s">
        <v>293</v>
      </c>
      <c r="D95" s="4" t="s">
        <v>294</v>
      </c>
      <c r="E95" t="s">
        <v>295</v>
      </c>
      <c r="F95" s="4">
        <v>2.5868149999999996E-2</v>
      </c>
      <c r="G95" s="1">
        <f>AVERAGE(F95:F99)</f>
        <v>8.192395712201142E-2</v>
      </c>
      <c r="H95">
        <f>_xlfn.STDEV.P(F95:F99)</f>
        <v>5.7166850490219037E-2</v>
      </c>
      <c r="I95" t="s">
        <v>296</v>
      </c>
    </row>
    <row r="96" spans="2:9" x14ac:dyDescent="0.3">
      <c r="B96" s="7" t="s">
        <v>10</v>
      </c>
      <c r="C96" s="16" t="s">
        <v>33</v>
      </c>
      <c r="D96" s="4">
        <v>2.4E-2</v>
      </c>
      <c r="E96" t="s">
        <v>297</v>
      </c>
      <c r="F96" s="4">
        <v>2.4018563303659774E-2</v>
      </c>
      <c r="I96" t="s">
        <v>298</v>
      </c>
    </row>
    <row r="97" spans="2:18" x14ac:dyDescent="0.3">
      <c r="B97" s="7" t="s">
        <v>10</v>
      </c>
      <c r="C97" s="16" t="s">
        <v>33</v>
      </c>
      <c r="D97" s="4">
        <v>2.3599999999999999E-2</v>
      </c>
      <c r="E97" s="18" t="s">
        <v>299</v>
      </c>
      <c r="F97" s="4">
        <v>6.0179999999999997E-2</v>
      </c>
      <c r="I97" t="s">
        <v>300</v>
      </c>
    </row>
    <row r="98" spans="2:18" x14ac:dyDescent="0.3">
      <c r="B98" s="7" t="s">
        <v>10</v>
      </c>
      <c r="C98" s="16" t="s">
        <v>33</v>
      </c>
      <c r="D98" s="4" t="s">
        <v>301</v>
      </c>
      <c r="E98" t="s">
        <v>302</v>
      </c>
      <c r="F98" s="4">
        <v>0.14071532222222224</v>
      </c>
      <c r="I98" t="s">
        <v>303</v>
      </c>
    </row>
    <row r="99" spans="2:18" x14ac:dyDescent="0.3">
      <c r="B99" s="7" t="s">
        <v>10</v>
      </c>
      <c r="C99" s="16" t="s">
        <v>33</v>
      </c>
      <c r="D99" s="4" t="s">
        <v>304</v>
      </c>
      <c r="E99" t="s">
        <v>275</v>
      </c>
      <c r="F99" s="4">
        <v>0.15883775008417508</v>
      </c>
      <c r="I99" t="s">
        <v>305</v>
      </c>
    </row>
    <row r="100" spans="2:18" ht="15" customHeight="1" x14ac:dyDescent="0.3">
      <c r="B100" s="7" t="s">
        <v>10</v>
      </c>
      <c r="C100" s="16" t="s">
        <v>306</v>
      </c>
      <c r="D100" s="4">
        <v>79</v>
      </c>
      <c r="E100" t="s">
        <v>307</v>
      </c>
      <c r="F100" s="4">
        <v>5.5934689442868356E-2</v>
      </c>
      <c r="G100" s="1">
        <f>AVERAGE(F100:F101)</f>
        <v>6.3954511388100849E-2</v>
      </c>
      <c r="H100">
        <f>_xlfn.STDEV.P(F100:F101)</f>
        <v>8.019821945232505E-3</v>
      </c>
      <c r="I100" t="s">
        <v>308</v>
      </c>
    </row>
    <row r="101" spans="2:18" ht="15" customHeight="1" x14ac:dyDescent="0.3">
      <c r="B101" s="7" t="s">
        <v>10</v>
      </c>
      <c r="C101" s="16" t="s">
        <v>33</v>
      </c>
      <c r="D101" s="4" t="s">
        <v>309</v>
      </c>
      <c r="E101" t="s">
        <v>310</v>
      </c>
      <c r="F101" s="4">
        <v>7.1974333333333348E-2</v>
      </c>
      <c r="I101" t="s">
        <v>311</v>
      </c>
    </row>
    <row r="102" spans="2:18" x14ac:dyDescent="0.3">
      <c r="B102" s="7" t="s">
        <v>10</v>
      </c>
      <c r="C102" s="16" t="s">
        <v>312</v>
      </c>
      <c r="D102" s="4" t="s">
        <v>313</v>
      </c>
      <c r="E102" t="s">
        <v>314</v>
      </c>
      <c r="F102" s="4">
        <v>3.1739999999999997E-2</v>
      </c>
      <c r="G102" s="1">
        <f>AVERAGE(F102:F106)</f>
        <v>0.10348896218105726</v>
      </c>
      <c r="H102">
        <f>_xlfn.STDEV.P(F102:F106)</f>
        <v>3.8425957299248893E-2</v>
      </c>
      <c r="I102" t="s">
        <v>315</v>
      </c>
    </row>
    <row r="103" spans="2:18" x14ac:dyDescent="0.3">
      <c r="B103" s="7" t="s">
        <v>10</v>
      </c>
      <c r="C103" s="16" t="s">
        <v>33</v>
      </c>
      <c r="D103" s="4" t="s">
        <v>316</v>
      </c>
      <c r="E103" t="s">
        <v>317</v>
      </c>
      <c r="F103" s="4">
        <v>0.110576289398281</v>
      </c>
      <c r="I103" t="s">
        <v>318</v>
      </c>
    </row>
    <row r="104" spans="2:18" x14ac:dyDescent="0.3">
      <c r="B104" s="7" t="s">
        <v>10</v>
      </c>
      <c r="C104" s="16" t="s">
        <v>33</v>
      </c>
      <c r="D104" s="4" t="s">
        <v>319</v>
      </c>
      <c r="E104" t="s">
        <v>307</v>
      </c>
      <c r="F104" s="4">
        <v>0.10434246646113374</v>
      </c>
      <c r="I104" t="s">
        <v>320</v>
      </c>
    </row>
    <row r="105" spans="2:18" x14ac:dyDescent="0.3">
      <c r="B105" s="7" t="s">
        <v>10</v>
      </c>
      <c r="C105" s="16" t="s">
        <v>33</v>
      </c>
      <c r="D105" s="4">
        <v>0.14400000000000002</v>
      </c>
      <c r="E105" t="s">
        <v>321</v>
      </c>
      <c r="F105" s="4">
        <v>0.14400000000000002</v>
      </c>
      <c r="I105" t="s">
        <v>322</v>
      </c>
    </row>
    <row r="106" spans="2:18" x14ac:dyDescent="0.3">
      <c r="B106" s="7" t="s">
        <v>10</v>
      </c>
      <c r="C106" s="16" t="s">
        <v>33</v>
      </c>
      <c r="D106" s="4" t="s">
        <v>323</v>
      </c>
      <c r="E106" t="s">
        <v>324</v>
      </c>
      <c r="F106" s="4">
        <v>0.12678605504587154</v>
      </c>
      <c r="I106" t="s">
        <v>325</v>
      </c>
    </row>
    <row r="107" spans="2:18" x14ac:dyDescent="0.3">
      <c r="B107" s="7" t="s">
        <v>10</v>
      </c>
      <c r="C107" s="16" t="s">
        <v>326</v>
      </c>
      <c r="D107" s="4">
        <v>0.10587464648573532</v>
      </c>
      <c r="E107" s="4" t="s">
        <v>85</v>
      </c>
      <c r="F107" s="4">
        <v>5.2937323242867658E-2</v>
      </c>
      <c r="G107" s="1">
        <f>F107</f>
        <v>5.2937323242867658E-2</v>
      </c>
      <c r="H107">
        <v>0</v>
      </c>
      <c r="I107" s="12" t="s">
        <v>86</v>
      </c>
    </row>
    <row r="108" spans="2:18" x14ac:dyDescent="0.3">
      <c r="B108" s="7" t="s">
        <v>10</v>
      </c>
      <c r="C108" s="16" t="s">
        <v>6</v>
      </c>
      <c r="D108" s="4" t="s">
        <v>327</v>
      </c>
      <c r="E108" s="4" t="s">
        <v>328</v>
      </c>
      <c r="F108" s="4">
        <v>7.0000000000000007E-2</v>
      </c>
      <c r="G108" s="1">
        <f>AVERAGE(F108:F112)</f>
        <v>0.21621000000000001</v>
      </c>
      <c r="I108" s="9" t="s">
        <v>329</v>
      </c>
    </row>
    <row r="109" spans="2:18" x14ac:dyDescent="0.3">
      <c r="B109" s="7" t="s">
        <v>10</v>
      </c>
      <c r="C109" s="16"/>
      <c r="D109" s="4" t="s">
        <v>330</v>
      </c>
      <c r="E109" s="4" t="s">
        <v>331</v>
      </c>
      <c r="F109" s="4">
        <v>0.3</v>
      </c>
      <c r="I109" s="9" t="s">
        <v>332</v>
      </c>
    </row>
    <row r="110" spans="2:18" x14ac:dyDescent="0.3">
      <c r="B110" s="7" t="s">
        <v>10</v>
      </c>
      <c r="C110" s="16"/>
      <c r="D110" s="4" t="s">
        <v>333</v>
      </c>
      <c r="E110" s="4" t="s">
        <v>334</v>
      </c>
      <c r="F110" s="4">
        <v>0.26</v>
      </c>
      <c r="I110" s="9" t="s">
        <v>335</v>
      </c>
    </row>
    <row r="111" spans="2:18" x14ac:dyDescent="0.3">
      <c r="B111" s="7" t="s">
        <v>10</v>
      </c>
      <c r="C111" s="16"/>
      <c r="D111" s="4">
        <v>354</v>
      </c>
      <c r="E111" s="4" t="s">
        <v>336</v>
      </c>
      <c r="F111" s="4">
        <v>0.27</v>
      </c>
      <c r="I111" t="s">
        <v>337</v>
      </c>
    </row>
    <row r="112" spans="2:18" x14ac:dyDescent="0.3">
      <c r="B112" s="7" t="s">
        <v>10</v>
      </c>
      <c r="C112" s="19"/>
      <c r="D112" s="19">
        <v>0.36209999999999998</v>
      </c>
      <c r="E112" s="19" t="s">
        <v>338</v>
      </c>
      <c r="F112" s="19">
        <v>0.18104999999999999</v>
      </c>
      <c r="G112" s="19"/>
      <c r="H112" s="19"/>
      <c r="I112" s="12" t="s">
        <v>86</v>
      </c>
      <c r="J112" s="16"/>
      <c r="K112" s="4"/>
      <c r="L112" s="4"/>
      <c r="M112" s="4"/>
      <c r="N112" s="1"/>
      <c r="R112" s="9"/>
    </row>
    <row r="113" spans="2:10" x14ac:dyDescent="0.3">
      <c r="B113" s="7" t="s">
        <v>10</v>
      </c>
      <c r="C113" s="16" t="s">
        <v>339</v>
      </c>
      <c r="D113" s="4">
        <v>65</v>
      </c>
      <c r="E113" s="4" t="s">
        <v>340</v>
      </c>
      <c r="F113" s="4">
        <v>6.5000000000000002E-2</v>
      </c>
      <c r="G113" s="1">
        <f>AVERAGE(F113:F117)</f>
        <v>0.12896649825000001</v>
      </c>
      <c r="I113" s="9" t="s">
        <v>341</v>
      </c>
    </row>
    <row r="114" spans="2:10" x14ac:dyDescent="0.3">
      <c r="B114" s="7" t="s">
        <v>10</v>
      </c>
      <c r="C114" s="16"/>
      <c r="D114" s="4">
        <v>251</v>
      </c>
      <c r="E114" s="4" t="s">
        <v>342</v>
      </c>
      <c r="F114" s="4">
        <v>0.19829000000000002</v>
      </c>
      <c r="I114" s="9" t="s">
        <v>343</v>
      </c>
    </row>
    <row r="115" spans="2:10" x14ac:dyDescent="0.3">
      <c r="B115" s="7" t="s">
        <v>10</v>
      </c>
      <c r="C115" s="16"/>
      <c r="D115" s="4">
        <v>17.899999999999999</v>
      </c>
      <c r="E115" s="4" t="s">
        <v>344</v>
      </c>
      <c r="F115" s="4">
        <v>0.17899999999999999</v>
      </c>
      <c r="I115" s="9" t="s">
        <v>345</v>
      </c>
    </row>
    <row r="116" spans="2:10" x14ac:dyDescent="0.3">
      <c r="B116" s="7" t="s">
        <v>10</v>
      </c>
      <c r="C116" s="16"/>
      <c r="D116">
        <v>2.896249125E-2</v>
      </c>
      <c r="E116" s="4"/>
      <c r="F116" s="4">
        <v>2.896249125E-2</v>
      </c>
      <c r="I116" s="9" t="s">
        <v>346</v>
      </c>
    </row>
    <row r="117" spans="2:10" x14ac:dyDescent="0.3">
      <c r="B117" s="7" t="s">
        <v>10</v>
      </c>
      <c r="C117" s="16"/>
      <c r="D117">
        <v>0.17358000000000001</v>
      </c>
      <c r="E117" s="4"/>
      <c r="F117" s="4">
        <v>0.17358000000000001</v>
      </c>
      <c r="I117" s="9" t="s">
        <v>347</v>
      </c>
    </row>
    <row r="118" spans="2:10" x14ac:dyDescent="0.3">
      <c r="B118" s="7" t="s">
        <v>10</v>
      </c>
      <c r="C118" s="16" t="s">
        <v>7</v>
      </c>
      <c r="D118" s="4" t="s">
        <v>348</v>
      </c>
      <c r="E118" s="4" t="s">
        <v>349</v>
      </c>
      <c r="F118" s="4">
        <v>2.1583200000000004E-2</v>
      </c>
      <c r="G118" s="1">
        <f>_xlfn.STDEV.S(F118:F119)</f>
        <v>1.1099365342023266E-2</v>
      </c>
      <c r="I118" t="s">
        <v>350</v>
      </c>
      <c r="J118" t="s">
        <v>351</v>
      </c>
    </row>
    <row r="119" spans="2:10" x14ac:dyDescent="0.3">
      <c r="B119" s="7" t="s">
        <v>10</v>
      </c>
      <c r="C119" s="16"/>
      <c r="D119" s="4">
        <v>9.8000000000000007</v>
      </c>
      <c r="E119" s="4" t="s">
        <v>349</v>
      </c>
      <c r="F119" s="4">
        <v>3.72800730004232E-2</v>
      </c>
      <c r="I119" s="20" t="s">
        <v>352</v>
      </c>
      <c r="J119" t="s">
        <v>353</v>
      </c>
    </row>
    <row r="120" spans="2:10" x14ac:dyDescent="0.3">
      <c r="B120" s="7" t="s">
        <v>10</v>
      </c>
      <c r="C120" s="16" t="s">
        <v>354</v>
      </c>
      <c r="D120">
        <f>[1]rapeseed!$F$71</f>
        <v>7.9158787654320981E-2</v>
      </c>
      <c r="E120" s="4" t="s">
        <v>85</v>
      </c>
      <c r="F120">
        <v>3.957939382716049E-2</v>
      </c>
      <c r="G120" s="1">
        <f t="shared" ref="G120" si="0">F120</f>
        <v>3.957939382716049E-2</v>
      </c>
      <c r="H120">
        <v>0</v>
      </c>
      <c r="I120" s="12" t="s">
        <v>86</v>
      </c>
    </row>
    <row r="121" spans="2:10" x14ac:dyDescent="0.3">
      <c r="B121" s="21" t="s">
        <v>11</v>
      </c>
      <c r="C121" s="8" t="s">
        <v>5</v>
      </c>
      <c r="D121" s="4" t="s">
        <v>355</v>
      </c>
      <c r="E121" t="s">
        <v>356</v>
      </c>
      <c r="F121" s="4">
        <v>9.0463717999999999E-2</v>
      </c>
      <c r="G121" s="1">
        <f>AVERAGE(F121:F125)</f>
        <v>5.4253630107629611E-2</v>
      </c>
      <c r="H121">
        <f>_xlfn.STDEV.P(F121:F125)</f>
        <v>3.4561418011394021E-2</v>
      </c>
      <c r="I121" s="9" t="s">
        <v>357</v>
      </c>
    </row>
    <row r="122" spans="2:10" x14ac:dyDescent="0.3">
      <c r="B122" s="21" t="s">
        <v>11</v>
      </c>
      <c r="C122" s="8"/>
      <c r="D122" s="4" t="s">
        <v>358</v>
      </c>
      <c r="E122" t="s">
        <v>359</v>
      </c>
      <c r="F122" s="4">
        <v>1.1985945030739591E-2</v>
      </c>
      <c r="I122" s="9" t="s">
        <v>360</v>
      </c>
    </row>
    <row r="123" spans="2:10" x14ac:dyDescent="0.3">
      <c r="B123" s="21" t="s">
        <v>11</v>
      </c>
      <c r="C123" s="8" t="s">
        <v>33</v>
      </c>
      <c r="D123" s="4" t="s">
        <v>361</v>
      </c>
      <c r="E123" t="s">
        <v>356</v>
      </c>
      <c r="F123" s="4">
        <v>1.5031103892255889E-2</v>
      </c>
      <c r="I123" s="9" t="s">
        <v>362</v>
      </c>
    </row>
    <row r="124" spans="2:10" x14ac:dyDescent="0.3">
      <c r="B124" s="21" t="s">
        <v>11</v>
      </c>
      <c r="C124" s="8" t="s">
        <v>33</v>
      </c>
      <c r="D124" s="4" t="s">
        <v>363</v>
      </c>
      <c r="E124" t="s">
        <v>356</v>
      </c>
      <c r="F124" s="4">
        <v>8.9367244981968005E-2</v>
      </c>
      <c r="I124" s="9" t="s">
        <v>364</v>
      </c>
    </row>
    <row r="125" spans="2:10" x14ac:dyDescent="0.3">
      <c r="B125" s="21" t="s">
        <v>11</v>
      </c>
      <c r="C125" s="8" t="s">
        <v>33</v>
      </c>
      <c r="D125" s="4" t="s">
        <v>365</v>
      </c>
      <c r="E125" t="s">
        <v>356</v>
      </c>
      <c r="F125" s="4">
        <v>6.4420138633184562E-2</v>
      </c>
      <c r="I125" s="9" t="s">
        <v>366</v>
      </c>
    </row>
    <row r="126" spans="2:10" x14ac:dyDescent="0.3">
      <c r="B126" s="21" t="s">
        <v>11</v>
      </c>
      <c r="C126" t="s">
        <v>44</v>
      </c>
      <c r="D126">
        <v>0</v>
      </c>
      <c r="E126" s="4" t="s">
        <v>85</v>
      </c>
      <c r="F126">
        <v>0</v>
      </c>
      <c r="G126" s="1">
        <f t="shared" ref="G126:G134" si="1">F126</f>
        <v>0</v>
      </c>
      <c r="H126">
        <v>0</v>
      </c>
      <c r="I126" s="12" t="s">
        <v>86</v>
      </c>
    </row>
    <row r="127" spans="2:10" x14ac:dyDescent="0.3">
      <c r="B127" s="21" t="s">
        <v>11</v>
      </c>
      <c r="C127" t="s">
        <v>49</v>
      </c>
      <c r="D127">
        <v>0.112716</v>
      </c>
      <c r="E127" s="4" t="s">
        <v>85</v>
      </c>
      <c r="F127">
        <v>5.6357999999999998E-2</v>
      </c>
      <c r="G127" s="1">
        <f t="shared" si="1"/>
        <v>5.6357999999999998E-2</v>
      </c>
      <c r="H127">
        <v>0</v>
      </c>
      <c r="I127" s="12" t="s">
        <v>86</v>
      </c>
      <c r="J127" s="9" t="s">
        <v>367</v>
      </c>
    </row>
    <row r="128" spans="2:10" x14ac:dyDescent="0.3">
      <c r="B128" s="21" t="s">
        <v>11</v>
      </c>
      <c r="C128" s="8" t="s">
        <v>53</v>
      </c>
      <c r="D128">
        <f>[1]Wheat!$E$266</f>
        <v>2.9501181818181815E-2</v>
      </c>
      <c r="E128" s="4" t="s">
        <v>85</v>
      </c>
      <c r="F128">
        <v>1.4750590909090908E-2</v>
      </c>
      <c r="G128" s="1">
        <f t="shared" si="1"/>
        <v>1.4750590909090908E-2</v>
      </c>
      <c r="H128">
        <v>1</v>
      </c>
      <c r="I128" s="12" t="s">
        <v>86</v>
      </c>
    </row>
    <row r="129" spans="2:11" x14ac:dyDescent="0.3">
      <c r="B129" s="21" t="s">
        <v>11</v>
      </c>
      <c r="C129" s="8" t="s">
        <v>67</v>
      </c>
      <c r="D129">
        <f>[1]Wheat!$E$274</f>
        <v>0.11126159999999999</v>
      </c>
      <c r="E129" s="4" t="s">
        <v>85</v>
      </c>
      <c r="F129">
        <v>5.5630799999999994E-2</v>
      </c>
      <c r="G129" s="1">
        <f t="shared" si="1"/>
        <v>5.5630799999999994E-2</v>
      </c>
      <c r="H129">
        <v>0</v>
      </c>
      <c r="I129" s="12" t="s">
        <v>86</v>
      </c>
    </row>
    <row r="130" spans="2:11" x14ac:dyDescent="0.3">
      <c r="B130" s="21" t="s">
        <v>11</v>
      </c>
      <c r="C130" t="s">
        <v>84</v>
      </c>
      <c r="D130">
        <v>0</v>
      </c>
      <c r="E130" s="4" t="s">
        <v>85</v>
      </c>
      <c r="F130">
        <v>0</v>
      </c>
      <c r="G130" s="1">
        <f t="shared" si="1"/>
        <v>0</v>
      </c>
      <c r="H130">
        <v>0</v>
      </c>
      <c r="I130" s="12" t="s">
        <v>86</v>
      </c>
    </row>
    <row r="131" spans="2:11" x14ac:dyDescent="0.3">
      <c r="B131" s="21" t="s">
        <v>11</v>
      </c>
      <c r="C131" t="s">
        <v>3</v>
      </c>
      <c r="D131">
        <v>1.4544E-3</v>
      </c>
      <c r="E131" t="s">
        <v>85</v>
      </c>
      <c r="F131">
        <v>7.272E-4</v>
      </c>
      <c r="G131" s="1">
        <f t="shared" si="1"/>
        <v>7.272E-4</v>
      </c>
      <c r="H131">
        <v>0</v>
      </c>
      <c r="I131" s="12" t="s">
        <v>86</v>
      </c>
    </row>
    <row r="132" spans="2:11" x14ac:dyDescent="0.3">
      <c r="B132" s="21" t="s">
        <v>11</v>
      </c>
      <c r="C132" t="s">
        <v>8</v>
      </c>
      <c r="D132">
        <v>2.7633599999999999E-3</v>
      </c>
      <c r="E132" t="s">
        <v>85</v>
      </c>
      <c r="F132">
        <v>1.3816799999999999E-3</v>
      </c>
      <c r="G132" s="1">
        <f t="shared" si="1"/>
        <v>1.3816799999999999E-3</v>
      </c>
      <c r="H132">
        <v>0</v>
      </c>
      <c r="I132" s="12" t="s">
        <v>86</v>
      </c>
    </row>
    <row r="133" spans="2:11" x14ac:dyDescent="0.3">
      <c r="B133" s="21" t="s">
        <v>11</v>
      </c>
      <c r="C133" t="s">
        <v>101</v>
      </c>
      <c r="D133">
        <v>1.0980719999999999E-2</v>
      </c>
      <c r="E133" t="s">
        <v>85</v>
      </c>
      <c r="F133">
        <v>5.4903599999999997E-3</v>
      </c>
      <c r="G133" s="1">
        <f t="shared" si="1"/>
        <v>5.4903599999999997E-3</v>
      </c>
      <c r="H133">
        <v>0</v>
      </c>
      <c r="I133" s="12" t="s">
        <v>86</v>
      </c>
    </row>
    <row r="134" spans="2:11" x14ac:dyDescent="0.3">
      <c r="B134" s="21" t="s">
        <v>11</v>
      </c>
      <c r="C134" s="8" t="s">
        <v>105</v>
      </c>
      <c r="D134" s="4">
        <v>49.9</v>
      </c>
      <c r="E134" t="s">
        <v>368</v>
      </c>
      <c r="F134" s="4">
        <v>4.99E-2</v>
      </c>
      <c r="G134" s="1">
        <f t="shared" si="1"/>
        <v>4.99E-2</v>
      </c>
      <c r="H134">
        <v>0</v>
      </c>
      <c r="I134" t="s">
        <v>369</v>
      </c>
    </row>
    <row r="135" spans="2:11" x14ac:dyDescent="0.3">
      <c r="B135" s="21" t="s">
        <v>11</v>
      </c>
      <c r="C135" s="8" t="s">
        <v>119</v>
      </c>
      <c r="D135" s="4">
        <v>59.5</v>
      </c>
      <c r="E135" t="s">
        <v>370</v>
      </c>
      <c r="F135">
        <v>7.891458733205374E-2</v>
      </c>
      <c r="G135" s="1">
        <f>AVERAGE(F135:F139)</f>
        <v>0.16178928372284068</v>
      </c>
      <c r="H135">
        <f>_xlfn.STDEV.P(F135:F139)</f>
        <v>0.17312724731292162</v>
      </c>
      <c r="I135" t="s">
        <v>371</v>
      </c>
    </row>
    <row r="136" spans="2:11" x14ac:dyDescent="0.3">
      <c r="B136" s="21" t="s">
        <v>11</v>
      </c>
      <c r="C136" s="8" t="s">
        <v>33</v>
      </c>
      <c r="D136" s="4" t="s">
        <v>372</v>
      </c>
      <c r="E136" t="s">
        <v>370</v>
      </c>
      <c r="F136" s="4">
        <v>4.708349328214971E-2</v>
      </c>
      <c r="I136" t="s">
        <v>371</v>
      </c>
      <c r="J136" t="s">
        <v>373</v>
      </c>
    </row>
    <row r="137" spans="2:11" x14ac:dyDescent="0.3">
      <c r="B137" s="21" t="s">
        <v>11</v>
      </c>
      <c r="C137" s="8" t="s">
        <v>33</v>
      </c>
      <c r="D137" s="4" t="s">
        <v>374</v>
      </c>
      <c r="E137" t="s">
        <v>375</v>
      </c>
      <c r="F137" s="4">
        <v>0.1174</v>
      </c>
      <c r="I137" t="s">
        <v>376</v>
      </c>
      <c r="J137" t="s">
        <v>377</v>
      </c>
      <c r="K137" s="9" t="s">
        <v>378</v>
      </c>
    </row>
    <row r="138" spans="2:11" x14ac:dyDescent="0.3">
      <c r="B138" s="21" t="s">
        <v>11</v>
      </c>
      <c r="C138" s="8" t="s">
        <v>33</v>
      </c>
      <c r="D138" s="4">
        <v>45.8</v>
      </c>
      <c r="E138" t="s">
        <v>379</v>
      </c>
      <c r="F138">
        <v>6.0744338000000002E-2</v>
      </c>
      <c r="I138" t="s">
        <v>380</v>
      </c>
      <c r="J138" t="s">
        <v>381</v>
      </c>
      <c r="K138" s="9" t="s">
        <v>378</v>
      </c>
    </row>
    <row r="139" spans="2:11" x14ac:dyDescent="0.3">
      <c r="B139" s="21" t="s">
        <v>11</v>
      </c>
      <c r="C139" s="8" t="s">
        <v>33</v>
      </c>
      <c r="D139" s="4">
        <v>92</v>
      </c>
      <c r="E139" t="s">
        <v>382</v>
      </c>
      <c r="F139" s="4">
        <v>0.50480400000000003</v>
      </c>
      <c r="I139" t="s">
        <v>383</v>
      </c>
      <c r="J139" t="s">
        <v>384</v>
      </c>
      <c r="K139" s="9" t="s">
        <v>385</v>
      </c>
    </row>
    <row r="140" spans="2:11" x14ac:dyDescent="0.3">
      <c r="B140" s="21" t="s">
        <v>11</v>
      </c>
      <c r="C140" t="s">
        <v>133</v>
      </c>
      <c r="D140">
        <v>0</v>
      </c>
      <c r="E140" t="s">
        <v>85</v>
      </c>
      <c r="F140">
        <v>0</v>
      </c>
      <c r="G140" s="1">
        <v>0</v>
      </c>
      <c r="H140">
        <v>0</v>
      </c>
      <c r="I140" s="12" t="s">
        <v>86</v>
      </c>
      <c r="J140" t="s">
        <v>386</v>
      </c>
    </row>
    <row r="141" spans="2:11" x14ac:dyDescent="0.3">
      <c r="B141" s="21" t="s">
        <v>11</v>
      </c>
      <c r="C141" t="s">
        <v>4</v>
      </c>
      <c r="D141">
        <v>7.7810400000000004E-3</v>
      </c>
      <c r="E141" t="s">
        <v>85</v>
      </c>
      <c r="F141">
        <v>3.8905200000000002E-3</v>
      </c>
      <c r="G141" s="1">
        <f>F141</f>
        <v>3.8905200000000002E-3</v>
      </c>
      <c r="H141">
        <v>0</v>
      </c>
      <c r="I141" s="12" t="s">
        <v>86</v>
      </c>
      <c r="J141" t="s">
        <v>387</v>
      </c>
    </row>
    <row r="142" spans="2:11" x14ac:dyDescent="0.3">
      <c r="B142" s="21" t="s">
        <v>11</v>
      </c>
      <c r="C142" s="8" t="s">
        <v>165</v>
      </c>
      <c r="D142" s="4" t="s">
        <v>388</v>
      </c>
      <c r="E142" t="s">
        <v>389</v>
      </c>
      <c r="F142" s="4">
        <v>4.8500000000000001E-2</v>
      </c>
      <c r="G142" s="1">
        <f>AVERAGE(F142:F143)</f>
        <v>4.8575E-2</v>
      </c>
      <c r="H142">
        <f>_xlfn.STDEV.P(F142:F143)</f>
        <v>7.4999999999998679E-5</v>
      </c>
      <c r="I142" t="s">
        <v>390</v>
      </c>
    </row>
    <row r="143" spans="2:11" x14ac:dyDescent="0.3">
      <c r="B143" s="21" t="s">
        <v>11</v>
      </c>
      <c r="C143" s="8" t="s">
        <v>33</v>
      </c>
      <c r="D143" s="4" t="s">
        <v>391</v>
      </c>
      <c r="E143" t="s">
        <v>392</v>
      </c>
      <c r="F143" s="4">
        <v>4.8649999999999999E-2</v>
      </c>
      <c r="I143" t="s">
        <v>393</v>
      </c>
    </row>
    <row r="144" spans="2:11" x14ac:dyDescent="0.3">
      <c r="B144" s="21" t="s">
        <v>11</v>
      </c>
      <c r="C144" t="s">
        <v>181</v>
      </c>
      <c r="D144">
        <v>3.8541600000000001E-3</v>
      </c>
      <c r="F144">
        <v>1.9270800000000001E-3</v>
      </c>
      <c r="G144" s="1">
        <f>F144</f>
        <v>1.9270800000000001E-3</v>
      </c>
      <c r="H144">
        <v>0</v>
      </c>
      <c r="I144" s="12" t="s">
        <v>86</v>
      </c>
      <c r="J144" t="s">
        <v>394</v>
      </c>
    </row>
    <row r="145" spans="2:10" x14ac:dyDescent="0.3">
      <c r="B145" s="21" t="s">
        <v>11</v>
      </c>
      <c r="C145" s="8" t="s">
        <v>198</v>
      </c>
      <c r="D145" s="4">
        <v>0</v>
      </c>
      <c r="E145" s="4" t="s">
        <v>85</v>
      </c>
      <c r="F145" s="4">
        <v>0</v>
      </c>
      <c r="G145" s="1">
        <f>F145</f>
        <v>0</v>
      </c>
      <c r="I145" s="12" t="s">
        <v>86</v>
      </c>
      <c r="J145" t="s">
        <v>395</v>
      </c>
    </row>
    <row r="146" spans="2:10" x14ac:dyDescent="0.3">
      <c r="B146" s="21" t="s">
        <v>11</v>
      </c>
      <c r="C146" s="8" t="s">
        <v>209</v>
      </c>
      <c r="D146" s="4">
        <v>0.06</v>
      </c>
      <c r="E146" t="s">
        <v>396</v>
      </c>
      <c r="F146" s="4">
        <v>5.2752E-2</v>
      </c>
      <c r="G146" s="1">
        <f>AVERAGE(F146:F150)</f>
        <v>7.6744751199999989E-2</v>
      </c>
      <c r="H146">
        <f>_xlfn.STDEV.P(F146:F150)</f>
        <v>2.1010345576878118E-2</v>
      </c>
      <c r="I146" t="s">
        <v>397</v>
      </c>
    </row>
    <row r="147" spans="2:10" x14ac:dyDescent="0.3">
      <c r="B147" s="21" t="s">
        <v>11</v>
      </c>
      <c r="C147" s="8" t="s">
        <v>33</v>
      </c>
      <c r="D147" s="4">
        <v>0.9</v>
      </c>
      <c r="E147" t="s">
        <v>398</v>
      </c>
      <c r="F147" s="4">
        <v>8.5016951999999979E-2</v>
      </c>
      <c r="I147" t="s">
        <v>399</v>
      </c>
    </row>
    <row r="148" spans="2:10" x14ac:dyDescent="0.3">
      <c r="B148" s="21" t="s">
        <v>11</v>
      </c>
      <c r="C148" s="8" t="s">
        <v>33</v>
      </c>
      <c r="D148" s="4">
        <v>0.55000000000000004</v>
      </c>
      <c r="E148" t="s">
        <v>400</v>
      </c>
      <c r="F148" s="4">
        <v>5.1954803999999993E-2</v>
      </c>
      <c r="I148" t="s">
        <v>401</v>
      </c>
    </row>
    <row r="149" spans="2:10" x14ac:dyDescent="0.3">
      <c r="B149" s="21" t="s">
        <v>11</v>
      </c>
      <c r="C149" s="8" t="s">
        <v>33</v>
      </c>
      <c r="D149" s="4">
        <v>8.9</v>
      </c>
      <c r="E149" t="s">
        <v>402</v>
      </c>
      <c r="F149" s="4">
        <v>8.8999999999999996E-2</v>
      </c>
      <c r="I149" t="s">
        <v>403</v>
      </c>
    </row>
    <row r="150" spans="2:10" x14ac:dyDescent="0.3">
      <c r="B150" s="21" t="s">
        <v>11</v>
      </c>
      <c r="C150" s="8" t="s">
        <v>33</v>
      </c>
      <c r="D150" s="15">
        <v>10.5</v>
      </c>
      <c r="E150" t="s">
        <v>402</v>
      </c>
      <c r="F150" s="4">
        <v>0.105</v>
      </c>
      <c r="I150" t="s">
        <v>404</v>
      </c>
    </row>
    <row r="151" spans="2:10" x14ac:dyDescent="0.3">
      <c r="B151" s="21" t="s">
        <v>11</v>
      </c>
      <c r="C151" s="16" t="s">
        <v>221</v>
      </c>
      <c r="D151" s="4">
        <v>4.9013279999999999E-2</v>
      </c>
      <c r="E151" s="4" t="s">
        <v>85</v>
      </c>
      <c r="F151" s="4">
        <v>2.450664E-2</v>
      </c>
      <c r="G151" s="1">
        <f t="shared" ref="G151:G161" si="2">F151</f>
        <v>2.450664E-2</v>
      </c>
      <c r="I151" s="12" t="s">
        <v>86</v>
      </c>
    </row>
    <row r="152" spans="2:10" x14ac:dyDescent="0.3">
      <c r="B152" s="21" t="s">
        <v>11</v>
      </c>
      <c r="C152" s="16" t="s">
        <v>9</v>
      </c>
      <c r="D152" s="4">
        <v>2.1815999999999996E-4</v>
      </c>
      <c r="E152" s="4" t="s">
        <v>85</v>
      </c>
      <c r="F152" s="4">
        <v>1.0907999999999998E-4</v>
      </c>
      <c r="G152" s="1">
        <f t="shared" si="2"/>
        <v>1.0907999999999998E-4</v>
      </c>
      <c r="I152" s="12" t="s">
        <v>86</v>
      </c>
    </row>
    <row r="153" spans="2:10" ht="15" customHeight="1" x14ac:dyDescent="0.3">
      <c r="B153" s="21" t="s">
        <v>11</v>
      </c>
      <c r="C153" s="16" t="s">
        <v>246</v>
      </c>
      <c r="D153" s="4">
        <v>7.4545271999999996E-2</v>
      </c>
      <c r="E153" s="4" t="s">
        <v>85</v>
      </c>
      <c r="F153" s="4">
        <v>3.7272635999999998E-2</v>
      </c>
      <c r="G153" s="1">
        <f t="shared" si="2"/>
        <v>3.7272635999999998E-2</v>
      </c>
      <c r="I153" s="12" t="s">
        <v>86</v>
      </c>
      <c r="J153" s="17"/>
    </row>
    <row r="154" spans="2:10" ht="15" customHeight="1" x14ac:dyDescent="0.3">
      <c r="B154" s="21" t="s">
        <v>11</v>
      </c>
      <c r="C154" s="16" t="s">
        <v>257</v>
      </c>
      <c r="D154" s="4">
        <v>2.0725199999999999E-2</v>
      </c>
      <c r="E154" s="4" t="s">
        <v>85</v>
      </c>
      <c r="F154" s="4">
        <v>1.03626E-2</v>
      </c>
      <c r="G154" s="1">
        <f t="shared" si="2"/>
        <v>1.03626E-2</v>
      </c>
      <c r="I154" s="12" t="s">
        <v>86</v>
      </c>
    </row>
    <row r="155" spans="2:10" x14ac:dyDescent="0.3">
      <c r="B155" s="21" t="s">
        <v>11</v>
      </c>
      <c r="C155" s="16" t="s">
        <v>272</v>
      </c>
      <c r="D155" s="4">
        <v>0</v>
      </c>
      <c r="E155" s="4" t="s">
        <v>85</v>
      </c>
      <c r="F155" s="4">
        <v>0</v>
      </c>
      <c r="G155" s="1">
        <f t="shared" si="2"/>
        <v>0</v>
      </c>
      <c r="I155" s="12" t="s">
        <v>86</v>
      </c>
    </row>
    <row r="156" spans="2:10" x14ac:dyDescent="0.3">
      <c r="B156" s="21" t="s">
        <v>11</v>
      </c>
      <c r="C156" s="16" t="s">
        <v>280</v>
      </c>
      <c r="D156" s="4">
        <v>0</v>
      </c>
      <c r="E156" s="4" t="s">
        <v>85</v>
      </c>
      <c r="F156" s="4">
        <v>0</v>
      </c>
      <c r="G156" s="1">
        <f t="shared" si="2"/>
        <v>0</v>
      </c>
      <c r="I156" s="12" t="s">
        <v>86</v>
      </c>
    </row>
    <row r="157" spans="2:10" x14ac:dyDescent="0.3">
      <c r="B157" s="21" t="s">
        <v>11</v>
      </c>
      <c r="C157" s="16" t="s">
        <v>293</v>
      </c>
      <c r="D157" s="4">
        <v>0.17236292727272706</v>
      </c>
      <c r="E157" s="4" t="s">
        <v>85</v>
      </c>
      <c r="F157" s="4">
        <v>8.6181463636363531E-2</v>
      </c>
      <c r="G157" s="1">
        <f t="shared" si="2"/>
        <v>8.6181463636363531E-2</v>
      </c>
      <c r="I157" s="12" t="s">
        <v>86</v>
      </c>
    </row>
    <row r="158" spans="2:10" x14ac:dyDescent="0.3">
      <c r="B158" s="21" t="s">
        <v>11</v>
      </c>
      <c r="C158" s="16" t="s">
        <v>306</v>
      </c>
      <c r="D158" s="4">
        <v>1.5178647272727293E-3</v>
      </c>
      <c r="E158" s="4" t="s">
        <v>85</v>
      </c>
      <c r="F158" s="4">
        <v>7.5893236363636465E-4</v>
      </c>
      <c r="G158" s="1">
        <f t="shared" si="2"/>
        <v>7.5893236363636465E-4</v>
      </c>
      <c r="I158" s="12" t="s">
        <v>86</v>
      </c>
    </row>
    <row r="159" spans="2:10" x14ac:dyDescent="0.3">
      <c r="B159" s="21" t="s">
        <v>11</v>
      </c>
      <c r="C159" s="16" t="s">
        <v>312</v>
      </c>
      <c r="D159" s="4">
        <v>2.0147952606545489E-3</v>
      </c>
      <c r="E159" s="4" t="s">
        <v>85</v>
      </c>
      <c r="F159" s="4">
        <v>1.0073976303272745E-3</v>
      </c>
      <c r="G159" s="1">
        <f t="shared" si="2"/>
        <v>1.0073976303272745E-3</v>
      </c>
      <c r="I159" s="12" t="s">
        <v>86</v>
      </c>
    </row>
    <row r="160" spans="2:10" ht="15" customHeight="1" x14ac:dyDescent="0.3">
      <c r="B160" s="21" t="s">
        <v>11</v>
      </c>
      <c r="C160" s="16" t="s">
        <v>326</v>
      </c>
      <c r="D160" s="4">
        <v>2.9076127550999998E-3</v>
      </c>
      <c r="E160" s="4" t="s">
        <v>85</v>
      </c>
      <c r="F160" s="4">
        <v>1.4538063775499999E-3</v>
      </c>
      <c r="G160" s="1">
        <f t="shared" si="2"/>
        <v>1.4538063775499999E-3</v>
      </c>
      <c r="I160" s="12" t="s">
        <v>86</v>
      </c>
    </row>
    <row r="161" spans="1:28" ht="15" customHeight="1" x14ac:dyDescent="0.3">
      <c r="B161" s="21" t="s">
        <v>11</v>
      </c>
      <c r="C161" s="16" t="s">
        <v>6</v>
      </c>
      <c r="D161" s="4">
        <v>0.10161810163636364</v>
      </c>
      <c r="E161" s="4" t="s">
        <v>85</v>
      </c>
      <c r="F161" s="4">
        <v>5.0809050818181822E-2</v>
      </c>
      <c r="G161" s="1">
        <f t="shared" si="2"/>
        <v>5.0809050818181822E-2</v>
      </c>
      <c r="I161" s="12" t="s">
        <v>86</v>
      </c>
    </row>
    <row r="162" spans="1:28" ht="15" customHeight="1" x14ac:dyDescent="0.3">
      <c r="B162" s="21" t="s">
        <v>11</v>
      </c>
      <c r="C162" s="16" t="s">
        <v>339</v>
      </c>
      <c r="D162" s="4">
        <v>7.1395008545454539E-2</v>
      </c>
      <c r="E162" s="4" t="s">
        <v>85</v>
      </c>
      <c r="F162" s="4">
        <v>3.5697504272727269E-2</v>
      </c>
      <c r="G162" s="1">
        <f>F162</f>
        <v>3.5697504272727269E-2</v>
      </c>
      <c r="I162" s="12" t="s">
        <v>86</v>
      </c>
    </row>
    <row r="163" spans="1:28" x14ac:dyDescent="0.3">
      <c r="A163" s="13"/>
      <c r="B163" s="21" t="s">
        <v>11</v>
      </c>
      <c r="C163" s="13" t="s">
        <v>7</v>
      </c>
      <c r="D163" s="4">
        <f>[1]rapeseed!$E$80</f>
        <v>3.679632E-2</v>
      </c>
      <c r="E163" s="4" t="s">
        <v>85</v>
      </c>
      <c r="F163" s="4">
        <v>1.839816E-2</v>
      </c>
      <c r="G163" s="1">
        <f t="shared" ref="G163:G164" si="3">F163</f>
        <v>1.839816E-2</v>
      </c>
      <c r="I163" s="12" t="s">
        <v>86</v>
      </c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</row>
    <row r="164" spans="1:28" x14ac:dyDescent="0.3">
      <c r="A164" s="13"/>
      <c r="B164" s="21" t="s">
        <v>11</v>
      </c>
      <c r="C164" s="13" t="s">
        <v>354</v>
      </c>
      <c r="D164" s="4">
        <f>[1]rapeseed!$E$87</f>
        <v>8.8696914545454541E-3</v>
      </c>
      <c r="E164" s="4" t="s">
        <v>85</v>
      </c>
      <c r="F164" s="4">
        <v>4.434845727272727E-3</v>
      </c>
      <c r="G164" s="1">
        <f t="shared" si="3"/>
        <v>4.434845727272727E-3</v>
      </c>
      <c r="I164" s="12" t="s">
        <v>86</v>
      </c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</row>
    <row r="165" spans="1:28" x14ac:dyDescent="0.3">
      <c r="B165" s="22" t="s">
        <v>12</v>
      </c>
      <c r="C165" s="8" t="s">
        <v>5</v>
      </c>
      <c r="D165" s="4" t="s">
        <v>405</v>
      </c>
      <c r="E165" t="s">
        <v>406</v>
      </c>
      <c r="F165" s="4">
        <v>1.0882839506172838E-2</v>
      </c>
      <c r="G165" s="1">
        <f>AVERAGE(F163:F167)</f>
        <v>5.666316904668911E-2</v>
      </c>
      <c r="H165">
        <f>_xlfn.STDEV.P(F163:F167)</f>
        <v>7.9806243755309147E-2</v>
      </c>
      <c r="I165" t="s">
        <v>407</v>
      </c>
    </row>
    <row r="166" spans="1:28" x14ac:dyDescent="0.3">
      <c r="B166" s="22" t="s">
        <v>12</v>
      </c>
      <c r="C166" s="8" t="s">
        <v>33</v>
      </c>
      <c r="D166" s="4">
        <v>3.46</v>
      </c>
      <c r="E166" t="s">
        <v>408</v>
      </c>
      <c r="F166" s="4">
        <v>3.4599999999999999E-2</v>
      </c>
      <c r="I166" t="s">
        <v>409</v>
      </c>
    </row>
    <row r="167" spans="1:28" x14ac:dyDescent="0.3">
      <c r="B167" s="22" t="s">
        <v>12</v>
      </c>
      <c r="C167" s="8" t="s">
        <v>33</v>
      </c>
      <c r="D167" s="4" t="s">
        <v>410</v>
      </c>
      <c r="E167" t="s">
        <v>411</v>
      </c>
      <c r="F167" s="4">
        <v>0.21500000000000002</v>
      </c>
      <c r="I167" t="s">
        <v>412</v>
      </c>
      <c r="J167" s="9" t="s">
        <v>413</v>
      </c>
    </row>
    <row r="168" spans="1:28" x14ac:dyDescent="0.3">
      <c r="B168" s="22" t="s">
        <v>12</v>
      </c>
      <c r="C168" t="s">
        <v>44</v>
      </c>
      <c r="D168">
        <v>0.116861111111111</v>
      </c>
      <c r="E168" s="4" t="s">
        <v>85</v>
      </c>
      <c r="F168">
        <v>5.84305555555555E-2</v>
      </c>
      <c r="G168" s="1">
        <f>F168</f>
        <v>5.84305555555555E-2</v>
      </c>
      <c r="H168">
        <v>0</v>
      </c>
      <c r="I168" s="12" t="s">
        <v>86</v>
      </c>
      <c r="J168" s="9" t="s">
        <v>414</v>
      </c>
    </row>
    <row r="169" spans="1:28" x14ac:dyDescent="0.3">
      <c r="B169" s="22" t="s">
        <v>12</v>
      </c>
      <c r="C169" s="8" t="s">
        <v>49</v>
      </c>
      <c r="D169">
        <v>0.37978888888888895</v>
      </c>
      <c r="E169" s="4" t="s">
        <v>85</v>
      </c>
      <c r="F169">
        <v>0.18989444444444448</v>
      </c>
      <c r="G169" s="1">
        <f>F169</f>
        <v>0.18989444444444448</v>
      </c>
      <c r="H169">
        <v>0</v>
      </c>
      <c r="I169" s="12" t="s">
        <v>86</v>
      </c>
      <c r="J169" s="9" t="s">
        <v>415</v>
      </c>
    </row>
    <row r="170" spans="1:28" x14ac:dyDescent="0.3">
      <c r="B170" s="22" t="s">
        <v>12</v>
      </c>
      <c r="C170" s="8" t="s">
        <v>53</v>
      </c>
      <c r="D170" s="4">
        <f>[1]Wheat!$E$331</f>
        <v>0.49543666666666664</v>
      </c>
      <c r="E170" t="s">
        <v>416</v>
      </c>
      <c r="F170" s="4">
        <v>0.24771833333333332</v>
      </c>
      <c r="G170" s="1">
        <f>AVERAGE(F170:F170)</f>
        <v>0.24771833333333332</v>
      </c>
      <c r="H170">
        <f>_xlfn.STDEV.P(F170:F170)</f>
        <v>0</v>
      </c>
      <c r="I170" s="12" t="s">
        <v>86</v>
      </c>
    </row>
    <row r="171" spans="1:28" x14ac:dyDescent="0.3">
      <c r="B171" s="22" t="s">
        <v>12</v>
      </c>
      <c r="C171" s="8" t="s">
        <v>67</v>
      </c>
      <c r="D171" s="4">
        <f>[1]Wheat!$E$340</f>
        <v>0.24384888888888892</v>
      </c>
      <c r="E171" t="s">
        <v>416</v>
      </c>
      <c r="F171" s="4">
        <v>0.12192444444444446</v>
      </c>
      <c r="G171" s="1">
        <f>AVERAGE(F171:F171)</f>
        <v>0.12192444444444446</v>
      </c>
      <c r="H171">
        <f>_xlfn.STDEV.P(F171:F171)</f>
        <v>0</v>
      </c>
      <c r="I171" s="12" t="s">
        <v>86</v>
      </c>
    </row>
    <row r="172" spans="1:28" x14ac:dyDescent="0.3">
      <c r="B172" s="22" t="s">
        <v>12</v>
      </c>
      <c r="C172" t="s">
        <v>84</v>
      </c>
      <c r="D172" s="4">
        <f>[1]Wheat!$E$346</f>
        <v>0.29260000000000003</v>
      </c>
      <c r="E172" t="s">
        <v>416</v>
      </c>
      <c r="F172" s="4">
        <v>0.14630000000000001</v>
      </c>
      <c r="G172" s="1">
        <f>AVERAGE(F172:F172)</f>
        <v>0.14630000000000001</v>
      </c>
      <c r="H172">
        <f>_xlfn.STDEV.P(F172:F172)</f>
        <v>0</v>
      </c>
      <c r="I172" s="12" t="s">
        <v>86</v>
      </c>
    </row>
    <row r="173" spans="1:28" x14ac:dyDescent="0.3">
      <c r="B173" s="22" t="s">
        <v>12</v>
      </c>
      <c r="C173" s="8" t="s">
        <v>3</v>
      </c>
      <c r="D173" s="4" t="s">
        <v>417</v>
      </c>
      <c r="E173" t="s">
        <v>418</v>
      </c>
      <c r="F173" s="4">
        <v>0.27500000000000002</v>
      </c>
      <c r="G173" s="1">
        <f>F173</f>
        <v>0.27500000000000002</v>
      </c>
      <c r="H173">
        <v>0</v>
      </c>
      <c r="I173" t="s">
        <v>412</v>
      </c>
    </row>
    <row r="174" spans="1:28" x14ac:dyDescent="0.3">
      <c r="B174" s="22" t="s">
        <v>12</v>
      </c>
      <c r="C174" t="s">
        <v>8</v>
      </c>
      <c r="D174">
        <v>1.204E-2</v>
      </c>
      <c r="E174" t="s">
        <v>416</v>
      </c>
      <c r="F174">
        <v>6.0200000000000002E-3</v>
      </c>
      <c r="G174" s="1">
        <f>AVERAGE(F174:F174)</f>
        <v>6.0200000000000002E-3</v>
      </c>
      <c r="H174">
        <f>_xlfn.STDEV.P(F174:F174)</f>
        <v>0</v>
      </c>
      <c r="I174" s="12" t="s">
        <v>86</v>
      </c>
    </row>
    <row r="175" spans="1:28" x14ac:dyDescent="0.3">
      <c r="B175" s="22" t="s">
        <v>12</v>
      </c>
      <c r="C175" t="s">
        <v>101</v>
      </c>
      <c r="D175">
        <v>1.1690000000000001E-2</v>
      </c>
      <c r="E175" t="s">
        <v>416</v>
      </c>
      <c r="F175">
        <v>5.8450000000000004E-3</v>
      </c>
      <c r="G175" s="1">
        <f>AVERAGE(F175:F175)</f>
        <v>5.8450000000000004E-3</v>
      </c>
      <c r="H175">
        <f>_xlfn.STDEV.P(F175:F175)</f>
        <v>0</v>
      </c>
      <c r="I175" s="12" t="s">
        <v>86</v>
      </c>
      <c r="J175" t="s">
        <v>415</v>
      </c>
    </row>
    <row r="176" spans="1:28" x14ac:dyDescent="0.3">
      <c r="B176" s="22" t="s">
        <v>12</v>
      </c>
      <c r="C176" s="8" t="s">
        <v>105</v>
      </c>
      <c r="D176" s="4">
        <v>70.7</v>
      </c>
      <c r="E176" t="s">
        <v>419</v>
      </c>
      <c r="F176" s="4">
        <v>0.70700000000000007</v>
      </c>
      <c r="G176" s="1">
        <f>F176</f>
        <v>0.70700000000000007</v>
      </c>
      <c r="H176">
        <v>0</v>
      </c>
      <c r="I176" t="s">
        <v>420</v>
      </c>
    </row>
    <row r="177" spans="2:10" x14ac:dyDescent="0.3">
      <c r="B177" s="22" t="s">
        <v>12</v>
      </c>
      <c r="C177" s="8" t="s">
        <v>119</v>
      </c>
      <c r="D177" s="4" t="s">
        <v>421</v>
      </c>
      <c r="E177" t="s">
        <v>422</v>
      </c>
      <c r="F177" s="4">
        <v>7.3887499999999995E-2</v>
      </c>
      <c r="G177" s="1">
        <f>AVERAGE(F177:F181)</f>
        <v>0.12507412800000001</v>
      </c>
      <c r="H177">
        <f>_xlfn.STDEV.P(F177:F181)</f>
        <v>0.12071937410813362</v>
      </c>
      <c r="I177" t="s">
        <v>423</v>
      </c>
    </row>
    <row r="178" spans="2:10" x14ac:dyDescent="0.3">
      <c r="B178" s="22" t="s">
        <v>12</v>
      </c>
      <c r="C178" s="8" t="s">
        <v>33</v>
      </c>
      <c r="D178">
        <v>72</v>
      </c>
      <c r="E178" t="s">
        <v>424</v>
      </c>
      <c r="F178">
        <v>0.35703869599999999</v>
      </c>
      <c r="I178" t="s">
        <v>425</v>
      </c>
      <c r="J178" t="s">
        <v>426</v>
      </c>
    </row>
    <row r="179" spans="2:10" x14ac:dyDescent="0.3">
      <c r="B179" s="22" t="s">
        <v>12</v>
      </c>
      <c r="C179" s="8" t="s">
        <v>33</v>
      </c>
      <c r="D179" s="4">
        <v>10</v>
      </c>
      <c r="E179" t="s">
        <v>427</v>
      </c>
      <c r="F179" s="4">
        <v>0.01</v>
      </c>
      <c r="I179" t="s">
        <v>428</v>
      </c>
    </row>
    <row r="180" spans="2:10" x14ac:dyDescent="0.3">
      <c r="B180" s="22" t="s">
        <v>12</v>
      </c>
      <c r="C180" s="8" t="s">
        <v>33</v>
      </c>
      <c r="D180" t="s">
        <v>429</v>
      </c>
      <c r="E180" t="s">
        <v>430</v>
      </c>
      <c r="F180">
        <v>0.115</v>
      </c>
      <c r="I180" t="s">
        <v>412</v>
      </c>
    </row>
    <row r="181" spans="2:10" x14ac:dyDescent="0.3">
      <c r="B181" s="22" t="s">
        <v>12</v>
      </c>
      <c r="C181" s="8" t="s">
        <v>33</v>
      </c>
      <c r="D181" t="s">
        <v>431</v>
      </c>
      <c r="E181" t="s">
        <v>432</v>
      </c>
      <c r="F181">
        <v>6.9444443999999994E-2</v>
      </c>
      <c r="I181" t="s">
        <v>433</v>
      </c>
    </row>
    <row r="182" spans="2:10" x14ac:dyDescent="0.3">
      <c r="B182" s="22" t="s">
        <v>12</v>
      </c>
      <c r="C182" s="8" t="s">
        <v>133</v>
      </c>
      <c r="D182" s="4" t="s">
        <v>434</v>
      </c>
      <c r="E182" t="s">
        <v>435</v>
      </c>
      <c r="F182" s="4">
        <v>0.18117343999999999</v>
      </c>
      <c r="G182" s="1">
        <f>F182</f>
        <v>0.18117343999999999</v>
      </c>
      <c r="H182">
        <v>0</v>
      </c>
      <c r="I182" t="s">
        <v>436</v>
      </c>
    </row>
    <row r="183" spans="2:10" x14ac:dyDescent="0.3">
      <c r="B183" s="22" t="s">
        <v>12</v>
      </c>
      <c r="C183" t="s">
        <v>4</v>
      </c>
      <c r="D183" s="4" t="s">
        <v>437</v>
      </c>
      <c r="E183" t="s">
        <v>438</v>
      </c>
      <c r="F183" s="4">
        <v>5.3754341779894743E-2</v>
      </c>
      <c r="G183" s="1">
        <f>AVERAGE(F183:F184)</f>
        <v>4.2915146561368425E-2</v>
      </c>
      <c r="H183">
        <f>_xlfn.STDEV.P(F183:F184)</f>
        <v>1.0839195218526311E-2</v>
      </c>
      <c r="I183" t="s">
        <v>439</v>
      </c>
    </row>
    <row r="184" spans="2:10" x14ac:dyDescent="0.3">
      <c r="B184" s="22" t="s">
        <v>12</v>
      </c>
      <c r="C184" t="s">
        <v>33</v>
      </c>
      <c r="D184" t="s">
        <v>440</v>
      </c>
      <c r="E184" t="s">
        <v>441</v>
      </c>
      <c r="F184">
        <v>3.2075951342842107E-2</v>
      </c>
      <c r="I184" t="s">
        <v>442</v>
      </c>
      <c r="J184" t="s">
        <v>443</v>
      </c>
    </row>
    <row r="185" spans="2:10" x14ac:dyDescent="0.3">
      <c r="B185" s="22" t="s">
        <v>12</v>
      </c>
      <c r="C185" s="8" t="s">
        <v>165</v>
      </c>
      <c r="D185" s="4" t="s">
        <v>444</v>
      </c>
      <c r="E185" t="s">
        <v>445</v>
      </c>
      <c r="F185" s="4">
        <v>5.011111111111112E-2</v>
      </c>
      <c r="G185" s="1">
        <f>F185</f>
        <v>5.011111111111112E-2</v>
      </c>
      <c r="H185">
        <v>0</v>
      </c>
      <c r="I185" t="s">
        <v>446</v>
      </c>
    </row>
    <row r="186" spans="2:10" x14ac:dyDescent="0.3">
      <c r="B186" s="22" t="s">
        <v>12</v>
      </c>
      <c r="C186" s="8" t="s">
        <v>181</v>
      </c>
      <c r="D186">
        <f>'[1]Sugar Beet'!$E$349</f>
        <v>0.38953157894736845</v>
      </c>
      <c r="E186" t="s">
        <v>416</v>
      </c>
      <c r="F186">
        <v>0.19476578947368423</v>
      </c>
      <c r="G186" s="1">
        <f>AVERAGE(F186:F186)</f>
        <v>0.19476578947368423</v>
      </c>
      <c r="H186">
        <f>_xlfn.STDEV.P(F186:F186)</f>
        <v>0</v>
      </c>
      <c r="I186" s="12" t="s">
        <v>86</v>
      </c>
    </row>
    <row r="187" spans="2:10" x14ac:dyDescent="0.3">
      <c r="B187" s="22" t="s">
        <v>12</v>
      </c>
      <c r="C187" s="8" t="s">
        <v>198</v>
      </c>
      <c r="D187" s="4" t="s">
        <v>447</v>
      </c>
      <c r="E187" t="s">
        <v>448</v>
      </c>
      <c r="F187" s="4">
        <v>0.20369066666666674</v>
      </c>
      <c r="G187" s="1">
        <f>AVERAGE(F187:F192)</f>
        <v>0.19816777777777783</v>
      </c>
      <c r="H187">
        <f>_xlfn.STDEV.P(F187:F192)</f>
        <v>8.2223199575272313E-2</v>
      </c>
      <c r="I187" t="s">
        <v>449</v>
      </c>
    </row>
    <row r="188" spans="2:10" x14ac:dyDescent="0.3">
      <c r="B188" s="22" t="s">
        <v>12</v>
      </c>
      <c r="C188" s="8" t="s">
        <v>33</v>
      </c>
      <c r="D188" s="4">
        <v>18.600000000000001</v>
      </c>
      <c r="E188" t="s">
        <v>448</v>
      </c>
      <c r="F188" s="4">
        <v>0.10763200000000006</v>
      </c>
      <c r="I188" t="s">
        <v>450</v>
      </c>
    </row>
    <row r="189" spans="2:10" ht="15.6" x14ac:dyDescent="0.3">
      <c r="B189" s="22" t="s">
        <v>12</v>
      </c>
      <c r="C189" s="8" t="s">
        <v>33</v>
      </c>
      <c r="D189" s="23">
        <v>18.100000000000001</v>
      </c>
      <c r="E189" t="s">
        <v>451</v>
      </c>
      <c r="F189" s="4">
        <v>0.18099999999999999</v>
      </c>
      <c r="I189" s="9" t="s">
        <v>452</v>
      </c>
    </row>
    <row r="190" spans="2:10" x14ac:dyDescent="0.3">
      <c r="B190" s="22" t="s">
        <v>12</v>
      </c>
      <c r="C190" s="8" t="s">
        <v>33</v>
      </c>
      <c r="D190" s="4" t="s">
        <v>453</v>
      </c>
      <c r="E190" t="s">
        <v>448</v>
      </c>
      <c r="F190" s="4">
        <v>0.11596133333333333</v>
      </c>
      <c r="I190" t="s">
        <v>452</v>
      </c>
    </row>
    <row r="191" spans="2:10" ht="15.6" x14ac:dyDescent="0.3">
      <c r="B191" s="22" t="s">
        <v>12</v>
      </c>
      <c r="C191" s="8" t="s">
        <v>33</v>
      </c>
      <c r="D191" s="23">
        <v>22.6</v>
      </c>
      <c r="E191" t="s">
        <v>454</v>
      </c>
      <c r="F191" s="4">
        <v>0.22600000000000001</v>
      </c>
      <c r="I191" t="s">
        <v>450</v>
      </c>
    </row>
    <row r="192" spans="2:10" x14ac:dyDescent="0.3">
      <c r="B192" s="22" t="s">
        <v>12</v>
      </c>
      <c r="C192" s="8" t="s">
        <v>33</v>
      </c>
      <c r="D192" s="4">
        <v>61.3</v>
      </c>
      <c r="E192" t="s">
        <v>448</v>
      </c>
      <c r="F192" s="4">
        <v>0.3547226666666668</v>
      </c>
      <c r="I192" t="s">
        <v>455</v>
      </c>
    </row>
    <row r="193" spans="2:9" x14ac:dyDescent="0.3">
      <c r="B193" s="22" t="s">
        <v>12</v>
      </c>
      <c r="C193" s="8" t="s">
        <v>209</v>
      </c>
      <c r="D193" s="4" t="s">
        <v>456</v>
      </c>
      <c r="E193" s="4" t="s">
        <v>448</v>
      </c>
      <c r="F193" s="4">
        <v>0.13507540355555553</v>
      </c>
      <c r="G193" s="1">
        <f t="shared" ref="G193:G199" si="4">F193</f>
        <v>0.13507540355555553</v>
      </c>
      <c r="H193">
        <v>0</v>
      </c>
      <c r="I193" s="12" t="s">
        <v>457</v>
      </c>
    </row>
    <row r="194" spans="2:9" x14ac:dyDescent="0.3">
      <c r="B194" s="22" t="s">
        <v>12</v>
      </c>
      <c r="C194" s="16" t="s">
        <v>221</v>
      </c>
      <c r="D194" s="4">
        <v>0.13871341637426904</v>
      </c>
      <c r="E194" s="4" t="s">
        <v>458</v>
      </c>
      <c r="F194" s="4">
        <v>6.9356708187134519E-2</v>
      </c>
      <c r="G194" s="1">
        <f t="shared" si="4"/>
        <v>6.9356708187134519E-2</v>
      </c>
      <c r="I194" s="12" t="s">
        <v>86</v>
      </c>
    </row>
    <row r="195" spans="2:9" x14ac:dyDescent="0.3">
      <c r="B195" s="22" t="s">
        <v>12</v>
      </c>
      <c r="C195" s="16" t="s">
        <v>9</v>
      </c>
      <c r="D195" s="4">
        <v>9.7607176456140393E-2</v>
      </c>
      <c r="E195" t="s">
        <v>458</v>
      </c>
      <c r="F195" s="4">
        <v>4.8803588228070197E-2</v>
      </c>
      <c r="G195" s="1">
        <f t="shared" si="4"/>
        <v>4.8803588228070197E-2</v>
      </c>
      <c r="I195" s="12" t="s">
        <v>86</v>
      </c>
    </row>
    <row r="196" spans="2:9" ht="15" customHeight="1" x14ac:dyDescent="0.3">
      <c r="B196" s="22" t="s">
        <v>12</v>
      </c>
      <c r="C196" s="16" t="s">
        <v>246</v>
      </c>
      <c r="D196" s="4" t="s">
        <v>459</v>
      </c>
      <c r="E196" t="s">
        <v>460</v>
      </c>
      <c r="F196" s="4">
        <v>4.1922500000000001E-2</v>
      </c>
      <c r="G196" s="1">
        <f t="shared" si="4"/>
        <v>4.1922500000000001E-2</v>
      </c>
      <c r="I196" t="s">
        <v>461</v>
      </c>
    </row>
    <row r="197" spans="2:9" x14ac:dyDescent="0.3">
      <c r="B197" s="22" t="s">
        <v>12</v>
      </c>
      <c r="C197" s="16" t="s">
        <v>257</v>
      </c>
      <c r="D197" s="4">
        <v>6.1533684210526331E-2</v>
      </c>
      <c r="E197" t="s">
        <v>458</v>
      </c>
      <c r="F197" s="4">
        <v>3.0766842105263165E-2</v>
      </c>
      <c r="G197" s="1">
        <f t="shared" si="4"/>
        <v>3.0766842105263165E-2</v>
      </c>
      <c r="I197" s="12" t="s">
        <v>86</v>
      </c>
    </row>
    <row r="198" spans="2:9" x14ac:dyDescent="0.3">
      <c r="B198" s="22" t="s">
        <v>12</v>
      </c>
      <c r="C198" s="16" t="s">
        <v>272</v>
      </c>
      <c r="D198" s="4">
        <v>0.11030329824561405</v>
      </c>
      <c r="E198" t="s">
        <v>458</v>
      </c>
      <c r="F198" s="4">
        <v>5.5151649122807025E-2</v>
      </c>
      <c r="G198" s="1">
        <f t="shared" si="4"/>
        <v>5.5151649122807025E-2</v>
      </c>
      <c r="I198" s="12" t="s">
        <v>86</v>
      </c>
    </row>
    <row r="199" spans="2:9" x14ac:dyDescent="0.3">
      <c r="B199" s="22" t="s">
        <v>12</v>
      </c>
      <c r="C199" s="16" t="s">
        <v>280</v>
      </c>
      <c r="D199" s="4">
        <v>0.11459368421052635</v>
      </c>
      <c r="E199" t="s">
        <v>458</v>
      </c>
      <c r="F199" s="4">
        <v>5.7296842105263174E-2</v>
      </c>
      <c r="G199" s="1">
        <f t="shared" si="4"/>
        <v>5.7296842105263174E-2</v>
      </c>
      <c r="I199" s="12" t="s">
        <v>86</v>
      </c>
    </row>
    <row r="200" spans="2:9" x14ac:dyDescent="0.3">
      <c r="B200" s="22" t="s">
        <v>12</v>
      </c>
      <c r="C200" s="16" t="s">
        <v>293</v>
      </c>
      <c r="D200" s="4">
        <v>42</v>
      </c>
      <c r="E200" t="s">
        <v>462</v>
      </c>
      <c r="F200" s="4">
        <v>0.42</v>
      </c>
      <c r="G200" s="1">
        <f>AVERAGE(F200:F201)</f>
        <v>0.25221341055555557</v>
      </c>
      <c r="H200">
        <f>_xlfn.STDEV.P(F200:F201)</f>
        <v>0.16778658944444438</v>
      </c>
      <c r="I200" t="s">
        <v>463</v>
      </c>
    </row>
    <row r="201" spans="2:9" x14ac:dyDescent="0.3">
      <c r="B201" s="22" t="s">
        <v>12</v>
      </c>
      <c r="C201" s="16" t="s">
        <v>33</v>
      </c>
      <c r="D201" s="4" t="s">
        <v>464</v>
      </c>
      <c r="E201" t="s">
        <v>465</v>
      </c>
      <c r="F201" s="4">
        <v>8.4426821111111147E-2</v>
      </c>
      <c r="I201" t="s">
        <v>466</v>
      </c>
    </row>
    <row r="202" spans="2:9" x14ac:dyDescent="0.3">
      <c r="B202" s="22" t="s">
        <v>12</v>
      </c>
      <c r="C202" s="16" t="s">
        <v>306</v>
      </c>
      <c r="D202" s="4">
        <v>8.2121152711111117E-2</v>
      </c>
      <c r="E202" t="s">
        <v>458</v>
      </c>
      <c r="F202" s="4">
        <v>4.1060576355555559E-2</v>
      </c>
      <c r="G202" s="1">
        <f t="shared" ref="G202:G239" si="5">F202</f>
        <v>4.1060576355555559E-2</v>
      </c>
      <c r="I202" s="12" t="s">
        <v>86</v>
      </c>
    </row>
    <row r="203" spans="2:9" ht="15" customHeight="1" x14ac:dyDescent="0.3">
      <c r="B203" s="22" t="s">
        <v>12</v>
      </c>
      <c r="C203" s="16" t="s">
        <v>312</v>
      </c>
      <c r="D203" s="4">
        <v>0.14960216183438599</v>
      </c>
      <c r="E203" t="s">
        <v>458</v>
      </c>
      <c r="F203" s="4">
        <v>7.4801080917192994E-2</v>
      </c>
      <c r="G203" s="1">
        <f t="shared" si="5"/>
        <v>7.4801080917192994E-2</v>
      </c>
      <c r="I203" s="12" t="s">
        <v>86</v>
      </c>
    </row>
    <row r="204" spans="2:9" x14ac:dyDescent="0.3">
      <c r="B204" s="22" t="s">
        <v>12</v>
      </c>
      <c r="C204" s="16" t="s">
        <v>326</v>
      </c>
      <c r="D204" s="4">
        <v>0.14211296369277779</v>
      </c>
      <c r="E204" t="s">
        <v>458</v>
      </c>
      <c r="F204" s="4">
        <v>7.1056481846388894E-2</v>
      </c>
      <c r="G204" s="1">
        <f t="shared" si="5"/>
        <v>7.1056481846388894E-2</v>
      </c>
      <c r="I204" s="12" t="s">
        <v>86</v>
      </c>
    </row>
    <row r="205" spans="2:9" x14ac:dyDescent="0.3">
      <c r="B205" s="22" t="s">
        <v>12</v>
      </c>
      <c r="C205" s="16" t="s">
        <v>6</v>
      </c>
      <c r="D205" s="4">
        <v>0.50183860058479535</v>
      </c>
      <c r="E205" t="s">
        <v>458</v>
      </c>
      <c r="F205" s="4">
        <v>0.25091930029239767</v>
      </c>
      <c r="G205" s="4">
        <f>F205</f>
        <v>0.25091930029239767</v>
      </c>
      <c r="I205" s="12"/>
    </row>
    <row r="206" spans="2:9" x14ac:dyDescent="0.3">
      <c r="B206" s="22" t="s">
        <v>12</v>
      </c>
      <c r="C206" s="16" t="s">
        <v>339</v>
      </c>
      <c r="D206" s="4">
        <v>0.20847094210526318</v>
      </c>
      <c r="E206" t="s">
        <v>458</v>
      </c>
      <c r="F206" s="4">
        <v>0.10423547105263159</v>
      </c>
      <c r="G206" s="4">
        <f>F206</f>
        <v>0.10423547105263159</v>
      </c>
      <c r="I206" s="12"/>
    </row>
    <row r="207" spans="2:9" x14ac:dyDescent="0.3">
      <c r="B207" s="22" t="s">
        <v>12</v>
      </c>
      <c r="C207" s="6" t="s">
        <v>7</v>
      </c>
      <c r="D207" s="4">
        <f>[1]rapeseed!$E$95</f>
        <v>3.7800000000000007E-2</v>
      </c>
      <c r="E207" t="s">
        <v>458</v>
      </c>
      <c r="F207" s="4">
        <v>1.8900000000000004E-2</v>
      </c>
      <c r="G207" s="1">
        <f t="shared" si="5"/>
        <v>1.8900000000000004E-2</v>
      </c>
      <c r="I207" s="12" t="s">
        <v>86</v>
      </c>
    </row>
    <row r="208" spans="2:9" ht="15" customHeight="1" x14ac:dyDescent="0.3">
      <c r="B208" s="22" t="s">
        <v>12</v>
      </c>
      <c r="C208" t="s">
        <v>354</v>
      </c>
      <c r="D208" s="4">
        <f>[1]rapeseed!$E$102</f>
        <v>0.10841312222222224</v>
      </c>
      <c r="E208" t="s">
        <v>458</v>
      </c>
      <c r="F208" s="4">
        <v>5.4206561111111121E-2</v>
      </c>
      <c r="G208" s="1">
        <f t="shared" si="5"/>
        <v>5.4206561111111121E-2</v>
      </c>
      <c r="I208" s="12" t="s">
        <v>86</v>
      </c>
    </row>
    <row r="209" spans="2:9" x14ac:dyDescent="0.3">
      <c r="B209" s="24" t="s">
        <v>13</v>
      </c>
      <c r="C209" s="8" t="s">
        <v>5</v>
      </c>
      <c r="D209" s="4">
        <v>105</v>
      </c>
      <c r="E209" t="s">
        <v>467</v>
      </c>
      <c r="F209" s="4">
        <v>5.2499999999999998E-2</v>
      </c>
      <c r="G209" s="1">
        <f>F209</f>
        <v>5.2499999999999998E-2</v>
      </c>
      <c r="H209">
        <v>0</v>
      </c>
      <c r="I209" t="s">
        <v>468</v>
      </c>
    </row>
    <row r="210" spans="2:9" ht="15" customHeight="1" x14ac:dyDescent="0.3">
      <c r="B210" s="24" t="s">
        <v>13</v>
      </c>
      <c r="C210" t="s">
        <v>44</v>
      </c>
      <c r="D210">
        <v>0.14474083333333332</v>
      </c>
      <c r="E210" t="s">
        <v>458</v>
      </c>
      <c r="F210">
        <v>7.2370416666666659E-2</v>
      </c>
      <c r="G210" s="1">
        <f>F210</f>
        <v>7.2370416666666659E-2</v>
      </c>
      <c r="I210" s="12" t="s">
        <v>86</v>
      </c>
    </row>
    <row r="211" spans="2:9" x14ac:dyDescent="0.3">
      <c r="B211" s="24" t="s">
        <v>13</v>
      </c>
      <c r="C211" s="16" t="s">
        <v>49</v>
      </c>
      <c r="D211">
        <v>0.47039566666666666</v>
      </c>
      <c r="E211" t="s">
        <v>458</v>
      </c>
      <c r="F211">
        <v>0.23519783333333333</v>
      </c>
      <c r="G211" s="1">
        <f t="shared" si="5"/>
        <v>0.23519783333333333</v>
      </c>
      <c r="I211" s="12" t="s">
        <v>86</v>
      </c>
    </row>
    <row r="212" spans="2:9" x14ac:dyDescent="0.3">
      <c r="B212" s="24" t="s">
        <v>13</v>
      </c>
      <c r="C212" t="s">
        <v>53</v>
      </c>
      <c r="D212">
        <f>[1]Wheat!$E$352</f>
        <v>0.61363369999999984</v>
      </c>
      <c r="E212" t="s">
        <v>458</v>
      </c>
      <c r="F212">
        <v>0.30681684999999992</v>
      </c>
      <c r="G212" s="1">
        <f t="shared" si="5"/>
        <v>0.30681684999999992</v>
      </c>
      <c r="I212" s="12" t="s">
        <v>86</v>
      </c>
    </row>
    <row r="213" spans="2:9" x14ac:dyDescent="0.3">
      <c r="B213" s="24" t="s">
        <v>13</v>
      </c>
      <c r="C213" t="s">
        <v>67</v>
      </c>
      <c r="D213">
        <f>[1]Wheat!$E$358</f>
        <v>0.30202426666666671</v>
      </c>
      <c r="E213" t="s">
        <v>458</v>
      </c>
      <c r="F213">
        <v>0.15101213333333335</v>
      </c>
      <c r="G213" s="1">
        <f t="shared" si="5"/>
        <v>0.15101213333333335</v>
      </c>
      <c r="I213" s="12" t="s">
        <v>86</v>
      </c>
    </row>
    <row r="214" spans="2:9" x14ac:dyDescent="0.3">
      <c r="B214" s="24" t="s">
        <v>13</v>
      </c>
      <c r="C214" t="s">
        <v>84</v>
      </c>
      <c r="D214">
        <f>[1]Wheat!$E$364</f>
        <v>0.36240600000000001</v>
      </c>
      <c r="E214" t="s">
        <v>458</v>
      </c>
      <c r="F214">
        <v>0.181203</v>
      </c>
      <c r="G214" s="1">
        <f t="shared" si="5"/>
        <v>0.181203</v>
      </c>
      <c r="I214" t="s">
        <v>86</v>
      </c>
    </row>
    <row r="215" spans="2:9" x14ac:dyDescent="0.3">
      <c r="B215" s="24" t="s">
        <v>13</v>
      </c>
      <c r="C215" t="s">
        <v>3</v>
      </c>
      <c r="D215">
        <v>0.13863482105263158</v>
      </c>
      <c r="E215" t="s">
        <v>458</v>
      </c>
      <c r="F215">
        <v>6.9317410526315792E-2</v>
      </c>
      <c r="G215" s="1">
        <f t="shared" si="5"/>
        <v>6.9317410526315792E-2</v>
      </c>
      <c r="I215" s="12" t="s">
        <v>86</v>
      </c>
    </row>
    <row r="216" spans="2:9" x14ac:dyDescent="0.3">
      <c r="B216" s="24" t="s">
        <v>13</v>
      </c>
      <c r="C216" t="s">
        <v>8</v>
      </c>
      <c r="D216">
        <v>2.7483899999999999E-2</v>
      </c>
      <c r="E216" t="s">
        <v>458</v>
      </c>
      <c r="F216">
        <v>1.3741949999999999E-2</v>
      </c>
      <c r="G216" s="1">
        <f t="shared" si="5"/>
        <v>1.3741949999999999E-2</v>
      </c>
      <c r="I216" s="12" t="s">
        <v>86</v>
      </c>
    </row>
    <row r="217" spans="2:9" x14ac:dyDescent="0.3">
      <c r="B217" s="24" t="s">
        <v>13</v>
      </c>
      <c r="C217" t="s">
        <v>101</v>
      </c>
      <c r="D217">
        <v>6.8232899999999999E-2</v>
      </c>
      <c r="E217" t="s">
        <v>458</v>
      </c>
      <c r="F217">
        <v>3.411645E-2</v>
      </c>
      <c r="G217" s="1">
        <f t="shared" si="5"/>
        <v>3.411645E-2</v>
      </c>
      <c r="I217" s="12" t="s">
        <v>86</v>
      </c>
    </row>
    <row r="218" spans="2:9" x14ac:dyDescent="0.3">
      <c r="B218" s="24" t="s">
        <v>13</v>
      </c>
      <c r="C218" t="s">
        <v>105</v>
      </c>
      <c r="D218">
        <v>0.25064969999999998</v>
      </c>
      <c r="E218" t="s">
        <v>458</v>
      </c>
      <c r="F218">
        <v>0.12532484999999999</v>
      </c>
      <c r="G218" s="1">
        <f t="shared" si="5"/>
        <v>0.12532484999999999</v>
      </c>
      <c r="I218" s="12" t="s">
        <v>86</v>
      </c>
    </row>
    <row r="219" spans="2:9" x14ac:dyDescent="0.3">
      <c r="B219" s="24" t="s">
        <v>13</v>
      </c>
      <c r="C219" t="s">
        <v>119</v>
      </c>
      <c r="D219">
        <v>0.61418280000000003</v>
      </c>
      <c r="E219" t="s">
        <v>458</v>
      </c>
      <c r="F219">
        <v>0.30709140000000001</v>
      </c>
      <c r="G219" s="1">
        <f t="shared" si="5"/>
        <v>0.30709140000000001</v>
      </c>
      <c r="I219" s="12" t="s">
        <v>86</v>
      </c>
    </row>
    <row r="220" spans="2:9" x14ac:dyDescent="0.3">
      <c r="B220" s="24" t="s">
        <v>13</v>
      </c>
      <c r="C220" t="s">
        <v>133</v>
      </c>
      <c r="D220">
        <v>0.48248550000000001</v>
      </c>
      <c r="E220" t="s">
        <v>458</v>
      </c>
      <c r="F220">
        <v>0.24124275000000001</v>
      </c>
      <c r="G220" s="1">
        <f t="shared" si="5"/>
        <v>0.24124275000000001</v>
      </c>
      <c r="I220" s="12" t="s">
        <v>86</v>
      </c>
    </row>
    <row r="221" spans="2:9" x14ac:dyDescent="0.3">
      <c r="B221" s="24" t="s">
        <v>13</v>
      </c>
      <c r="C221" t="s">
        <v>4</v>
      </c>
      <c r="D221">
        <f>'[1]Sugar Beet'!$E$357</f>
        <v>0.15221592673368423</v>
      </c>
      <c r="E221" t="s">
        <v>458</v>
      </c>
      <c r="F221">
        <v>7.6107963366842113E-2</v>
      </c>
      <c r="G221" s="1">
        <f t="shared" si="5"/>
        <v>7.6107963366842113E-2</v>
      </c>
      <c r="I221" s="12" t="s">
        <v>86</v>
      </c>
    </row>
    <row r="222" spans="2:9" x14ac:dyDescent="0.3">
      <c r="B222" s="24" t="s">
        <v>13</v>
      </c>
      <c r="C222" t="s">
        <v>165</v>
      </c>
      <c r="D222">
        <f>'[1]Sugar Beet'!$E$363</f>
        <v>0.38275064255821045</v>
      </c>
      <c r="E222" t="s">
        <v>458</v>
      </c>
      <c r="F222">
        <v>0.19137532127910523</v>
      </c>
      <c r="G222" s="1">
        <f t="shared" si="5"/>
        <v>0.19137532127910523</v>
      </c>
      <c r="I222" s="12" t="s">
        <v>86</v>
      </c>
    </row>
    <row r="223" spans="2:9" x14ac:dyDescent="0.3">
      <c r="B223" s="24" t="s">
        <v>13</v>
      </c>
      <c r="C223" t="s">
        <v>181</v>
      </c>
      <c r="D223">
        <f>'[1]Sugar Beet'!$E$369</f>
        <v>0.25979585031578944</v>
      </c>
      <c r="E223" t="s">
        <v>458</v>
      </c>
      <c r="F223">
        <v>0.12989792515789472</v>
      </c>
      <c r="G223" s="1">
        <f t="shared" si="5"/>
        <v>0.12989792515789472</v>
      </c>
      <c r="I223" s="12" t="s">
        <v>86</v>
      </c>
    </row>
    <row r="224" spans="2:9" x14ac:dyDescent="0.3">
      <c r="B224" s="24" t="s">
        <v>13</v>
      </c>
      <c r="C224" s="8" t="s">
        <v>198</v>
      </c>
      <c r="D224" s="4">
        <v>0.71672000000000002</v>
      </c>
      <c r="E224" t="s">
        <v>458</v>
      </c>
      <c r="F224" s="4">
        <v>0.35836000000000001</v>
      </c>
      <c r="G224" s="1">
        <f t="shared" si="5"/>
        <v>0.35836000000000001</v>
      </c>
      <c r="I224" s="12" t="s">
        <v>86</v>
      </c>
    </row>
    <row r="225" spans="1:28" x14ac:dyDescent="0.3">
      <c r="B225" s="24" t="s">
        <v>13</v>
      </c>
      <c r="C225" s="8" t="s">
        <v>209</v>
      </c>
      <c r="D225" s="4">
        <v>0.30418279190303027</v>
      </c>
      <c r="E225" t="s">
        <v>458</v>
      </c>
      <c r="F225" s="4">
        <v>0.15209139595151513</v>
      </c>
      <c r="G225" s="1">
        <f t="shared" si="5"/>
        <v>0.15209139595151513</v>
      </c>
      <c r="I225" s="12" t="s">
        <v>86</v>
      </c>
    </row>
    <row r="226" spans="1:28" x14ac:dyDescent="0.3">
      <c r="B226" s="24" t="s">
        <v>13</v>
      </c>
      <c r="C226" s="16" t="s">
        <v>221</v>
      </c>
      <c r="D226" s="4">
        <v>0.17180647428070175</v>
      </c>
      <c r="E226" t="s">
        <v>458</v>
      </c>
      <c r="F226" s="4">
        <v>8.5903237140350877E-2</v>
      </c>
      <c r="G226" s="1">
        <f t="shared" si="5"/>
        <v>8.5903237140350877E-2</v>
      </c>
      <c r="I226" s="12" t="s">
        <v>86</v>
      </c>
    </row>
    <row r="227" spans="1:28" x14ac:dyDescent="0.3">
      <c r="B227" s="24" t="s">
        <v>13</v>
      </c>
      <c r="C227" s="16" t="s">
        <v>9</v>
      </c>
      <c r="D227" s="4">
        <v>0.12089345998210527</v>
      </c>
      <c r="E227" t="s">
        <v>458</v>
      </c>
      <c r="F227" s="4">
        <v>6.0446729991052633E-2</v>
      </c>
      <c r="G227" s="1">
        <f t="shared" si="5"/>
        <v>6.0446729991052633E-2</v>
      </c>
      <c r="I227" s="12" t="s">
        <v>86</v>
      </c>
    </row>
    <row r="228" spans="1:28" ht="15" customHeight="1" x14ac:dyDescent="0.3">
      <c r="B228" s="24" t="s">
        <v>13</v>
      </c>
      <c r="C228" s="16" t="s">
        <v>246</v>
      </c>
      <c r="D228" s="4">
        <v>0.49540380000000001</v>
      </c>
      <c r="E228" t="s">
        <v>458</v>
      </c>
      <c r="F228" s="4">
        <v>0.2477019</v>
      </c>
      <c r="G228" s="1">
        <f t="shared" si="5"/>
        <v>0.2477019</v>
      </c>
      <c r="I228" s="12" t="s">
        <v>86</v>
      </c>
      <c r="J228" s="17"/>
    </row>
    <row r="229" spans="1:28" ht="15" customHeight="1" x14ac:dyDescent="0.3">
      <c r="B229" s="24" t="s">
        <v>13</v>
      </c>
      <c r="C229" s="16" t="s">
        <v>257</v>
      </c>
      <c r="D229" s="4">
        <v>7.6213863157894746E-2</v>
      </c>
      <c r="E229" t="s">
        <v>458</v>
      </c>
      <c r="F229" s="4">
        <v>3.8106931578947373E-2</v>
      </c>
      <c r="G229" s="1">
        <f t="shared" si="5"/>
        <v>3.8106931578947373E-2</v>
      </c>
      <c r="I229" s="12" t="s">
        <v>86</v>
      </c>
    </row>
    <row r="230" spans="1:28" x14ac:dyDescent="0.3">
      <c r="B230" s="24" t="s">
        <v>13</v>
      </c>
      <c r="C230" s="16" t="s">
        <v>272</v>
      </c>
      <c r="D230" s="4">
        <v>0.13661851368421052</v>
      </c>
      <c r="E230" t="s">
        <v>458</v>
      </c>
      <c r="F230" s="4">
        <v>6.8309256842105259E-2</v>
      </c>
      <c r="G230" s="1">
        <f t="shared" si="5"/>
        <v>6.8309256842105259E-2</v>
      </c>
      <c r="I230" s="12" t="s">
        <v>86</v>
      </c>
    </row>
    <row r="231" spans="1:28" x14ac:dyDescent="0.3">
      <c r="B231" s="24" t="s">
        <v>13</v>
      </c>
      <c r="C231" s="16" t="s">
        <v>280</v>
      </c>
      <c r="D231" s="4">
        <v>0.14193246315789476</v>
      </c>
      <c r="E231" t="s">
        <v>458</v>
      </c>
      <c r="F231" s="4">
        <v>7.0966231578947381E-2</v>
      </c>
      <c r="G231" s="1">
        <f t="shared" si="5"/>
        <v>7.0966231578947381E-2</v>
      </c>
      <c r="I231" s="12" t="s">
        <v>86</v>
      </c>
    </row>
    <row r="232" spans="1:28" x14ac:dyDescent="0.3">
      <c r="B232" s="24" t="s">
        <v>13</v>
      </c>
      <c r="C232" s="16" t="s">
        <v>293</v>
      </c>
      <c r="D232" s="4">
        <v>0.22107536666666666</v>
      </c>
      <c r="E232" t="s">
        <v>458</v>
      </c>
      <c r="F232" s="4">
        <v>0.11053768333333333</v>
      </c>
      <c r="G232" s="1">
        <f t="shared" si="5"/>
        <v>0.11053768333333333</v>
      </c>
      <c r="I232" s="12" t="s">
        <v>86</v>
      </c>
    </row>
    <row r="233" spans="1:28" x14ac:dyDescent="0.3">
      <c r="B233" s="24" t="s">
        <v>13</v>
      </c>
      <c r="C233" s="16" t="s">
        <v>306</v>
      </c>
      <c r="D233" s="4">
        <v>0.10171291342933333</v>
      </c>
      <c r="E233" t="s">
        <v>458</v>
      </c>
      <c r="F233" s="4">
        <v>5.0856456714666667E-2</v>
      </c>
      <c r="G233" s="1">
        <f t="shared" si="5"/>
        <v>5.0856456714666667E-2</v>
      </c>
      <c r="I233" s="12" t="s">
        <v>86</v>
      </c>
    </row>
    <row r="234" spans="1:28" x14ac:dyDescent="0.3">
      <c r="B234" s="24" t="s">
        <v>13</v>
      </c>
      <c r="C234" s="16" t="s">
        <v>312</v>
      </c>
      <c r="D234" s="4">
        <v>0.18529296330058947</v>
      </c>
      <c r="E234" t="s">
        <v>458</v>
      </c>
      <c r="F234" s="4">
        <v>9.2646481650294737E-2</v>
      </c>
      <c r="G234" s="1">
        <f t="shared" si="5"/>
        <v>9.2646481650294737E-2</v>
      </c>
      <c r="I234" s="12" t="s">
        <v>86</v>
      </c>
    </row>
    <row r="235" spans="1:28" x14ac:dyDescent="0.3">
      <c r="B235" s="24" t="s">
        <v>13</v>
      </c>
      <c r="C235" s="16" t="s">
        <v>326</v>
      </c>
      <c r="D235" s="4">
        <v>0.17601705645948332</v>
      </c>
      <c r="E235" t="s">
        <v>458</v>
      </c>
      <c r="F235" s="4">
        <v>8.8008528229741659E-2</v>
      </c>
      <c r="G235" s="1">
        <f t="shared" si="5"/>
        <v>8.8008528229741659E-2</v>
      </c>
      <c r="I235" s="12" t="s">
        <v>86</v>
      </c>
    </row>
    <row r="236" spans="1:28" x14ac:dyDescent="0.3">
      <c r="B236" s="24" t="s">
        <v>13</v>
      </c>
      <c r="C236" s="16" t="s">
        <v>6</v>
      </c>
      <c r="D236" s="4">
        <v>0.62156295243859649</v>
      </c>
      <c r="E236" t="s">
        <v>458</v>
      </c>
      <c r="F236" s="4">
        <v>0.31078147621929825</v>
      </c>
      <c r="G236" s="1">
        <f t="shared" si="5"/>
        <v>0.31078147621929825</v>
      </c>
      <c r="I236" s="12" t="s">
        <v>86</v>
      </c>
    </row>
    <row r="237" spans="1:28" x14ac:dyDescent="0.3">
      <c r="B237" s="24" t="s">
        <v>13</v>
      </c>
      <c r="C237" s="16" t="s">
        <v>339</v>
      </c>
      <c r="D237" s="4">
        <v>0.25820615257894736</v>
      </c>
      <c r="E237" t="s">
        <v>458</v>
      </c>
      <c r="F237" s="4">
        <v>0.12910307628947368</v>
      </c>
      <c r="G237" s="1">
        <f t="shared" si="5"/>
        <v>0.12910307628947368</v>
      </c>
      <c r="I237" s="12" t="s">
        <v>86</v>
      </c>
    </row>
    <row r="238" spans="1:28" x14ac:dyDescent="0.3">
      <c r="A238" s="13"/>
      <c r="B238" s="24" t="s">
        <v>13</v>
      </c>
      <c r="C238" t="s">
        <v>7</v>
      </c>
      <c r="D238">
        <f>[1]rapeseed!$E$113</f>
        <v>4.6818000000000005E-2</v>
      </c>
      <c r="E238" t="s">
        <v>458</v>
      </c>
      <c r="F238" s="4">
        <v>2.3409000000000003E-2</v>
      </c>
      <c r="G238" s="1">
        <f t="shared" si="5"/>
        <v>2.3409000000000003E-2</v>
      </c>
      <c r="I238" s="12" t="s">
        <v>86</v>
      </c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</row>
    <row r="239" spans="1:28" x14ac:dyDescent="0.3">
      <c r="A239" s="13"/>
      <c r="B239" s="24" t="s">
        <v>13</v>
      </c>
      <c r="C239" t="s">
        <v>354</v>
      </c>
      <c r="D239">
        <f>[1]rapeseed!$E$120</f>
        <v>0.13427739566666666</v>
      </c>
      <c r="E239" t="s">
        <v>458</v>
      </c>
      <c r="F239" s="4">
        <v>6.713869783333333E-2</v>
      </c>
      <c r="G239" s="1">
        <f t="shared" si="5"/>
        <v>6.713869783333333E-2</v>
      </c>
      <c r="I239" s="12" t="s">
        <v>86</v>
      </c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</row>
    <row r="240" spans="1:28" x14ac:dyDescent="0.3">
      <c r="B240" s="25" t="s">
        <v>14</v>
      </c>
      <c r="C240" t="s">
        <v>5</v>
      </c>
      <c r="D240">
        <v>4.0850999999999998E-2</v>
      </c>
      <c r="E240" t="s">
        <v>458</v>
      </c>
      <c r="F240" s="4">
        <v>2.0425499999999999E-2</v>
      </c>
      <c r="G240" s="1">
        <f>F240</f>
        <v>2.0425499999999999E-2</v>
      </c>
      <c r="I240" s="12" t="s">
        <v>86</v>
      </c>
    </row>
    <row r="241" spans="2:9" x14ac:dyDescent="0.3">
      <c r="B241" s="25" t="s">
        <v>14</v>
      </c>
      <c r="C241" t="s">
        <v>44</v>
      </c>
      <c r="D241">
        <v>2.8380555555555555E-2</v>
      </c>
      <c r="E241" t="s">
        <v>458</v>
      </c>
      <c r="F241" s="4">
        <v>1.4190277777777777E-2</v>
      </c>
      <c r="G241" s="1">
        <f>F241</f>
        <v>1.4190277777777777E-2</v>
      </c>
      <c r="I241" s="12" t="s">
        <v>86</v>
      </c>
    </row>
    <row r="242" spans="2:9" x14ac:dyDescent="0.3">
      <c r="B242" s="25" t="s">
        <v>14</v>
      </c>
      <c r="C242" t="s">
        <v>49</v>
      </c>
      <c r="D242">
        <v>9.2234444444444452E-2</v>
      </c>
      <c r="E242" t="s">
        <v>458</v>
      </c>
      <c r="F242" s="4">
        <v>4.6117222222222226E-2</v>
      </c>
      <c r="G242" s="1">
        <f t="shared" ref="G242:G270" si="6">F242</f>
        <v>4.6117222222222226E-2</v>
      </c>
      <c r="I242" s="12" t="s">
        <v>86</v>
      </c>
    </row>
    <row r="243" spans="2:9" x14ac:dyDescent="0.3">
      <c r="B243" s="25" t="s">
        <v>14</v>
      </c>
      <c r="C243" t="s">
        <v>53</v>
      </c>
      <c r="D243">
        <f>[1]Wheat!$E$366</f>
        <v>0.12032033333333332</v>
      </c>
      <c r="E243" t="s">
        <v>458</v>
      </c>
      <c r="F243" s="4">
        <v>6.016016666666666E-2</v>
      </c>
      <c r="G243" s="1">
        <f t="shared" si="6"/>
        <v>6.016016666666666E-2</v>
      </c>
      <c r="I243" s="12" t="s">
        <v>86</v>
      </c>
    </row>
    <row r="244" spans="2:9" x14ac:dyDescent="0.3">
      <c r="B244" s="25" t="s">
        <v>14</v>
      </c>
      <c r="C244" t="s">
        <v>67</v>
      </c>
      <c r="D244">
        <f>[1]Wheat!$E$369</f>
        <v>5.9220444444444451E-2</v>
      </c>
      <c r="E244" t="s">
        <v>458</v>
      </c>
      <c r="F244" s="4">
        <v>2.9610222222222225E-2</v>
      </c>
      <c r="G244" s="1">
        <f t="shared" si="6"/>
        <v>2.9610222222222225E-2</v>
      </c>
      <c r="I244" s="12" t="s">
        <v>86</v>
      </c>
    </row>
    <row r="245" spans="2:9" x14ac:dyDescent="0.3">
      <c r="B245" s="25" t="s">
        <v>14</v>
      </c>
      <c r="C245" t="s">
        <v>84</v>
      </c>
      <c r="D245">
        <f>[1]Wheat!$E$372</f>
        <v>7.1059999999999998E-2</v>
      </c>
      <c r="E245" t="s">
        <v>458</v>
      </c>
      <c r="F245">
        <v>3.5529999999999999E-2</v>
      </c>
      <c r="G245" s="1">
        <f t="shared" si="6"/>
        <v>3.5529999999999999E-2</v>
      </c>
      <c r="I245" t="s">
        <v>86</v>
      </c>
    </row>
    <row r="246" spans="2:9" x14ac:dyDescent="0.3">
      <c r="B246" s="25" t="s">
        <v>14</v>
      </c>
      <c r="C246" t="s">
        <v>3</v>
      </c>
      <c r="D246">
        <v>2.6539982456140358E-2</v>
      </c>
      <c r="E246" t="s">
        <v>458</v>
      </c>
      <c r="F246">
        <v>1.3269991228070179E-2</v>
      </c>
      <c r="G246" s="1">
        <f t="shared" si="6"/>
        <v>1.3269991228070179E-2</v>
      </c>
      <c r="I246" t="s">
        <v>86</v>
      </c>
    </row>
    <row r="247" spans="2:9" x14ac:dyDescent="0.3">
      <c r="B247" s="25" t="s">
        <v>14</v>
      </c>
      <c r="C247" t="s">
        <v>8</v>
      </c>
      <c r="D247">
        <v>2.4819999999999998E-3</v>
      </c>
      <c r="E247" t="s">
        <v>458</v>
      </c>
      <c r="F247" s="4">
        <v>1.2409999999999999E-3</v>
      </c>
      <c r="G247" s="1">
        <f t="shared" si="6"/>
        <v>1.2409999999999999E-3</v>
      </c>
      <c r="I247" s="12" t="s">
        <v>86</v>
      </c>
    </row>
    <row r="248" spans="2:9" x14ac:dyDescent="0.3">
      <c r="B248" s="25" t="s">
        <v>14</v>
      </c>
      <c r="C248" t="s">
        <v>101</v>
      </c>
      <c r="D248">
        <v>1.0557E-2</v>
      </c>
      <c r="E248" t="s">
        <v>458</v>
      </c>
      <c r="F248" s="4">
        <v>5.2785000000000002E-3</v>
      </c>
      <c r="G248" s="1">
        <f t="shared" si="6"/>
        <v>5.2785000000000002E-3</v>
      </c>
      <c r="I248" s="12" t="s">
        <v>86</v>
      </c>
    </row>
    <row r="249" spans="2:9" x14ac:dyDescent="0.3">
      <c r="B249" s="25" t="s">
        <v>14</v>
      </c>
      <c r="C249" t="s">
        <v>105</v>
      </c>
      <c r="D249">
        <v>3.6804999999999997E-2</v>
      </c>
      <c r="E249" t="s">
        <v>458</v>
      </c>
      <c r="F249" s="4">
        <v>1.8402499999999999E-2</v>
      </c>
      <c r="G249" s="1">
        <f t="shared" si="6"/>
        <v>1.8402499999999999E-2</v>
      </c>
      <c r="I249" s="12" t="s">
        <v>86</v>
      </c>
    </row>
    <row r="250" spans="2:9" x14ac:dyDescent="0.3">
      <c r="B250" s="25" t="s">
        <v>14</v>
      </c>
      <c r="C250" t="s">
        <v>119</v>
      </c>
      <c r="D250">
        <v>0.12042799999999999</v>
      </c>
      <c r="E250" t="s">
        <v>458</v>
      </c>
      <c r="F250" s="4">
        <v>6.0213999999999997E-2</v>
      </c>
      <c r="G250" s="1">
        <f t="shared" si="6"/>
        <v>6.0213999999999997E-2</v>
      </c>
      <c r="I250" s="12" t="s">
        <v>86</v>
      </c>
    </row>
    <row r="251" spans="2:9" x14ac:dyDescent="0.3">
      <c r="B251" s="25" t="s">
        <v>14</v>
      </c>
      <c r="C251" t="s">
        <v>133</v>
      </c>
      <c r="D251">
        <v>4.6529000000000001E-2</v>
      </c>
      <c r="E251" t="s">
        <v>458</v>
      </c>
      <c r="F251" s="4">
        <v>2.32645E-2</v>
      </c>
      <c r="G251" s="1">
        <f t="shared" si="6"/>
        <v>2.32645E-2</v>
      </c>
      <c r="I251" s="12" t="s">
        <v>86</v>
      </c>
    </row>
    <row r="252" spans="2:9" x14ac:dyDescent="0.3">
      <c r="B252" s="25" t="s">
        <v>14</v>
      </c>
      <c r="C252" t="s">
        <v>4</v>
      </c>
      <c r="D252">
        <f>'[1]Sugar Beet'!$E$372</f>
        <v>1.5837768038596496E-2</v>
      </c>
      <c r="E252" t="s">
        <v>458</v>
      </c>
      <c r="F252" s="4">
        <v>7.9188840192982481E-3</v>
      </c>
      <c r="G252" s="1">
        <f t="shared" si="6"/>
        <v>7.9188840192982481E-3</v>
      </c>
      <c r="I252" s="12" t="s">
        <v>86</v>
      </c>
    </row>
    <row r="253" spans="2:9" x14ac:dyDescent="0.3">
      <c r="B253" s="25" t="s">
        <v>14</v>
      </c>
      <c r="C253" t="s">
        <v>165</v>
      </c>
      <c r="D253">
        <f>'[1]Sugar Beet'!$E$375</f>
        <v>5.8990480336491229E-2</v>
      </c>
      <c r="E253" t="s">
        <v>458</v>
      </c>
      <c r="F253" s="4">
        <v>2.9495240168245614E-2</v>
      </c>
      <c r="G253" s="1">
        <f t="shared" si="6"/>
        <v>2.9495240168245614E-2</v>
      </c>
      <c r="I253" s="12" t="s">
        <v>86</v>
      </c>
    </row>
    <row r="254" spans="2:9" x14ac:dyDescent="0.3">
      <c r="B254" s="25" t="s">
        <v>14</v>
      </c>
      <c r="C254" t="s">
        <v>181</v>
      </c>
      <c r="D254">
        <f>'[1]Sugar Beet'!$E$378</f>
        <v>3.5997998070175438E-2</v>
      </c>
      <c r="E254" t="s">
        <v>458</v>
      </c>
      <c r="F254" s="4">
        <v>1.7998999035087719E-2</v>
      </c>
      <c r="G254" s="1">
        <f t="shared" si="6"/>
        <v>1.7998999035087719E-2</v>
      </c>
      <c r="I254" s="12" t="s">
        <v>86</v>
      </c>
    </row>
    <row r="255" spans="2:9" x14ac:dyDescent="0.3">
      <c r="B255" s="25" t="s">
        <v>14</v>
      </c>
      <c r="C255" s="8" t="s">
        <v>198</v>
      </c>
      <c r="D255" s="4">
        <v>0.14053333333333334</v>
      </c>
      <c r="E255" t="s">
        <v>458</v>
      </c>
      <c r="F255" s="4">
        <v>7.0266666666666672E-2</v>
      </c>
      <c r="G255" s="1">
        <f t="shared" si="6"/>
        <v>7.0266666666666672E-2</v>
      </c>
      <c r="I255" s="12" t="s">
        <v>86</v>
      </c>
    </row>
    <row r="256" spans="2:9" x14ac:dyDescent="0.3">
      <c r="B256" s="25" t="s">
        <v>14</v>
      </c>
      <c r="C256" s="8" t="s">
        <v>209</v>
      </c>
      <c r="D256" s="4">
        <v>5.9643684686868689E-2</v>
      </c>
      <c r="E256" t="s">
        <v>458</v>
      </c>
      <c r="F256" s="4">
        <v>2.9821842343434345E-2</v>
      </c>
      <c r="G256" s="1">
        <f t="shared" si="6"/>
        <v>2.9821842343434345E-2</v>
      </c>
      <c r="I256" s="12" t="s">
        <v>86</v>
      </c>
    </row>
    <row r="257" spans="1:28" x14ac:dyDescent="0.3">
      <c r="B257" s="25" t="s">
        <v>14</v>
      </c>
      <c r="C257" s="16" t="s">
        <v>221</v>
      </c>
      <c r="D257" s="4">
        <v>2.8207459766081869E-2</v>
      </c>
      <c r="E257" t="s">
        <v>458</v>
      </c>
      <c r="F257" s="4">
        <v>1.4103729883040934E-2</v>
      </c>
      <c r="G257" s="1">
        <f t="shared" si="6"/>
        <v>1.4103729883040934E-2</v>
      </c>
      <c r="I257" s="12" t="s">
        <v>86</v>
      </c>
    </row>
    <row r="258" spans="1:28" x14ac:dyDescent="0.3">
      <c r="B258" s="25" t="s">
        <v>14</v>
      </c>
      <c r="C258" s="16" t="s">
        <v>9</v>
      </c>
      <c r="D258" s="4">
        <v>7.5805473649122818E-3</v>
      </c>
      <c r="E258" t="s">
        <v>458</v>
      </c>
      <c r="F258" s="4">
        <v>3.7902736824561409E-3</v>
      </c>
      <c r="G258" s="1">
        <f t="shared" si="6"/>
        <v>3.7902736824561409E-3</v>
      </c>
      <c r="I258" s="12" t="s">
        <v>86</v>
      </c>
    </row>
    <row r="259" spans="1:28" ht="15" customHeight="1" x14ac:dyDescent="0.3">
      <c r="B259" s="25" t="s">
        <v>14</v>
      </c>
      <c r="C259" s="16" t="s">
        <v>246</v>
      </c>
      <c r="D259" s="4">
        <v>6.3852000000000006E-2</v>
      </c>
      <c r="E259" t="s">
        <v>458</v>
      </c>
      <c r="F259" s="4">
        <v>3.1926000000000003E-2</v>
      </c>
      <c r="G259" s="1">
        <f t="shared" si="6"/>
        <v>3.1926000000000003E-2</v>
      </c>
      <c r="I259" s="12" t="s">
        <v>86</v>
      </c>
      <c r="J259" s="17"/>
    </row>
    <row r="260" spans="1:28" ht="15" customHeight="1" x14ac:dyDescent="0.3">
      <c r="B260" s="25" t="s">
        <v>14</v>
      </c>
      <c r="C260" s="16" t="s">
        <v>257</v>
      </c>
      <c r="D260" s="4">
        <v>7.1829473684210544E-3</v>
      </c>
      <c r="E260" t="s">
        <v>458</v>
      </c>
      <c r="F260" s="4">
        <v>3.5914736842105272E-3</v>
      </c>
      <c r="G260" s="1">
        <f t="shared" si="6"/>
        <v>3.5914736842105272E-3</v>
      </c>
      <c r="I260" s="12" t="s">
        <v>86</v>
      </c>
    </row>
    <row r="261" spans="1:28" x14ac:dyDescent="0.3">
      <c r="B261" s="25" t="s">
        <v>14</v>
      </c>
      <c r="C261" s="16" t="s">
        <v>272</v>
      </c>
      <c r="D261" s="4">
        <v>1.7897838596491227E-2</v>
      </c>
      <c r="E261" t="s">
        <v>458</v>
      </c>
      <c r="F261" s="4">
        <v>8.9489192982456136E-3</v>
      </c>
      <c r="G261" s="1">
        <f t="shared" si="6"/>
        <v>8.9489192982456136E-3</v>
      </c>
      <c r="I261" s="12" t="s">
        <v>86</v>
      </c>
    </row>
    <row r="262" spans="1:28" x14ac:dyDescent="0.3">
      <c r="B262" s="25" t="s">
        <v>14</v>
      </c>
      <c r="C262" s="16" t="s">
        <v>280</v>
      </c>
      <c r="D262" s="4">
        <v>1.4560947368421054E-2</v>
      </c>
      <c r="E262" t="s">
        <v>458</v>
      </c>
      <c r="F262" s="4">
        <v>7.2804736842105268E-3</v>
      </c>
      <c r="G262" s="1">
        <f t="shared" si="6"/>
        <v>7.2804736842105268E-3</v>
      </c>
      <c r="I262" s="12" t="s">
        <v>86</v>
      </c>
    </row>
    <row r="263" spans="1:28" x14ac:dyDescent="0.3">
      <c r="B263" s="25" t="s">
        <v>14</v>
      </c>
      <c r="C263" s="16" t="s">
        <v>293</v>
      </c>
      <c r="D263" s="4">
        <v>4.3348111111111115E-2</v>
      </c>
      <c r="E263" t="s">
        <v>458</v>
      </c>
      <c r="F263" s="4">
        <v>2.1674055555555558E-2</v>
      </c>
      <c r="G263" s="1">
        <f t="shared" si="6"/>
        <v>2.1674055555555558E-2</v>
      </c>
      <c r="I263" s="12" t="s">
        <v>86</v>
      </c>
    </row>
    <row r="264" spans="1:28" x14ac:dyDescent="0.3">
      <c r="B264" s="25" t="s">
        <v>14</v>
      </c>
      <c r="C264" s="16" t="s">
        <v>306</v>
      </c>
      <c r="D264" s="4">
        <v>1.9943708515555558E-2</v>
      </c>
      <c r="E264" t="s">
        <v>458</v>
      </c>
      <c r="F264" s="4">
        <v>9.9718542577777788E-3</v>
      </c>
      <c r="G264" s="1">
        <f t="shared" si="6"/>
        <v>9.9718542577777788E-3</v>
      </c>
      <c r="I264" s="12" t="s">
        <v>86</v>
      </c>
    </row>
    <row r="265" spans="1:28" x14ac:dyDescent="0.3">
      <c r="B265" s="25" t="s">
        <v>14</v>
      </c>
      <c r="C265" s="16" t="s">
        <v>312</v>
      </c>
      <c r="D265" s="4">
        <v>3.2013058851508777E-2</v>
      </c>
      <c r="E265" t="s">
        <v>458</v>
      </c>
      <c r="F265" s="4">
        <v>1.6006529425754389E-2</v>
      </c>
      <c r="G265" s="1">
        <f t="shared" si="6"/>
        <v>1.6006529425754389E-2</v>
      </c>
      <c r="I265" s="12" t="s">
        <v>86</v>
      </c>
    </row>
    <row r="266" spans="1:28" x14ac:dyDescent="0.3">
      <c r="B266" s="25" t="s">
        <v>14</v>
      </c>
      <c r="C266" s="16" t="s">
        <v>326</v>
      </c>
      <c r="D266" s="4">
        <v>3.451314832538889E-2</v>
      </c>
      <c r="E266" t="s">
        <v>458</v>
      </c>
      <c r="F266" s="4">
        <v>1.7256574162694445E-2</v>
      </c>
      <c r="G266" s="1">
        <f t="shared" si="6"/>
        <v>1.7256574162694445E-2</v>
      </c>
      <c r="I266" s="12" t="s">
        <v>86</v>
      </c>
    </row>
    <row r="267" spans="1:28" x14ac:dyDescent="0.3">
      <c r="B267" s="25" t="s">
        <v>14</v>
      </c>
      <c r="C267" s="16" t="s">
        <v>6</v>
      </c>
      <c r="D267" s="4">
        <v>3.0736800000000005E-2</v>
      </c>
      <c r="E267" t="s">
        <v>458</v>
      </c>
      <c r="F267" s="4">
        <v>1.5368400000000003E-2</v>
      </c>
      <c r="G267" s="1">
        <f t="shared" si="6"/>
        <v>1.5368400000000003E-2</v>
      </c>
      <c r="I267" s="12" t="s">
        <v>86</v>
      </c>
    </row>
    <row r="268" spans="1:28" x14ac:dyDescent="0.3">
      <c r="B268" s="25" t="s">
        <v>14</v>
      </c>
      <c r="C268" s="16" t="s">
        <v>339</v>
      </c>
      <c r="D268" s="4">
        <v>1.2157757277777778E-2</v>
      </c>
      <c r="E268" t="s">
        <v>458</v>
      </c>
      <c r="F268" s="4">
        <v>6.0788786388888891E-3</v>
      </c>
      <c r="G268" s="1">
        <f t="shared" si="6"/>
        <v>6.0788786388888891E-3</v>
      </c>
      <c r="I268" s="12" t="s">
        <v>86</v>
      </c>
    </row>
    <row r="269" spans="1:28" x14ac:dyDescent="0.3">
      <c r="A269" s="13"/>
      <c r="B269" s="25" t="s">
        <v>14</v>
      </c>
      <c r="C269" t="s">
        <v>7</v>
      </c>
      <c r="D269" s="4">
        <f>[1]rapeseed!$E$126</f>
        <v>2.4079385747368424E-3</v>
      </c>
      <c r="E269" t="s">
        <v>458</v>
      </c>
      <c r="F269" s="4">
        <v>1.2039692873684212E-3</v>
      </c>
      <c r="G269" s="1">
        <f t="shared" si="6"/>
        <v>1.2039692873684212E-3</v>
      </c>
      <c r="I269" s="12" t="s">
        <v>86</v>
      </c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</row>
    <row r="270" spans="1:28" x14ac:dyDescent="0.3">
      <c r="A270" s="13"/>
      <c r="B270" s="25" t="s">
        <v>14</v>
      </c>
      <c r="C270" t="s">
        <v>354</v>
      </c>
      <c r="D270" s="4">
        <v>3.451314832538889E-2</v>
      </c>
      <c r="E270" t="s">
        <v>458</v>
      </c>
      <c r="F270" s="4">
        <v>1.7256574162694445E-2</v>
      </c>
      <c r="G270" s="1">
        <f t="shared" si="6"/>
        <v>1.7256574162694445E-2</v>
      </c>
      <c r="I270" s="12" t="s">
        <v>86</v>
      </c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</row>
    <row r="271" spans="1:28" x14ac:dyDescent="0.3">
      <c r="B271" s="26" t="s">
        <v>15</v>
      </c>
      <c r="C271" s="8" t="s">
        <v>5</v>
      </c>
      <c r="D271" s="4" t="s">
        <v>469</v>
      </c>
      <c r="E271" t="s">
        <v>470</v>
      </c>
      <c r="F271" s="4">
        <v>0.70131529243047752</v>
      </c>
      <c r="G271" s="1">
        <f>AVERAGE(F271:F275)</f>
        <v>0.36091382831774538</v>
      </c>
      <c r="H271">
        <f>_xlfn.STDEV.P(F269:F275)</f>
        <v>0.24719065841585061</v>
      </c>
      <c r="I271" t="s">
        <v>471</v>
      </c>
    </row>
    <row r="272" spans="1:28" x14ac:dyDescent="0.3">
      <c r="B272" s="26" t="s">
        <v>15</v>
      </c>
      <c r="C272" s="8" t="s">
        <v>33</v>
      </c>
      <c r="D272" s="4">
        <v>0.64</v>
      </c>
      <c r="E272" t="s">
        <v>470</v>
      </c>
      <c r="F272" s="4">
        <v>0.5571829081930415</v>
      </c>
      <c r="I272" t="s">
        <v>472</v>
      </c>
    </row>
    <row r="273" spans="2:10" x14ac:dyDescent="0.3">
      <c r="B273" s="26" t="s">
        <v>15</v>
      </c>
      <c r="C273" s="8" t="s">
        <v>33</v>
      </c>
      <c r="D273" s="4" t="s">
        <v>473</v>
      </c>
      <c r="E273" t="s">
        <v>470</v>
      </c>
      <c r="F273" s="4">
        <v>0.17083333333333336</v>
      </c>
      <c r="I273" t="s">
        <v>474</v>
      </c>
      <c r="J273" t="s">
        <v>475</v>
      </c>
    </row>
    <row r="274" spans="2:10" x14ac:dyDescent="0.3">
      <c r="B274" s="26" t="s">
        <v>15</v>
      </c>
      <c r="C274" s="8" t="s">
        <v>33</v>
      </c>
      <c r="D274" s="4" t="s">
        <v>476</v>
      </c>
      <c r="E274" t="s">
        <v>477</v>
      </c>
      <c r="F274" s="4">
        <v>0.17500000000000002</v>
      </c>
      <c r="I274" t="s">
        <v>478</v>
      </c>
      <c r="J274" t="s">
        <v>479</v>
      </c>
    </row>
    <row r="275" spans="2:10" x14ac:dyDescent="0.3">
      <c r="B275" s="26" t="s">
        <v>15</v>
      </c>
      <c r="C275" s="8" t="s">
        <v>33</v>
      </c>
      <c r="D275" s="4" t="s">
        <v>480</v>
      </c>
      <c r="E275" t="s">
        <v>481</v>
      </c>
      <c r="F275" s="4">
        <v>0.20023760763187429</v>
      </c>
      <c r="I275" t="s">
        <v>482</v>
      </c>
      <c r="J275" t="s">
        <v>483</v>
      </c>
    </row>
    <row r="276" spans="2:10" x14ac:dyDescent="0.3">
      <c r="B276" s="26" t="s">
        <v>15</v>
      </c>
      <c r="C276" t="s">
        <v>44</v>
      </c>
      <c r="D276">
        <v>0.11137579365079364</v>
      </c>
      <c r="E276" t="s">
        <v>458</v>
      </c>
      <c r="F276" s="4">
        <v>5.5687896825396821E-2</v>
      </c>
      <c r="G276" s="1">
        <f>F276</f>
        <v>5.5687896825396821E-2</v>
      </c>
      <c r="I276" s="12" t="s">
        <v>86</v>
      </c>
      <c r="J276" t="s">
        <v>484</v>
      </c>
    </row>
    <row r="277" spans="2:10" x14ac:dyDescent="0.3">
      <c r="B277" s="26" t="s">
        <v>15</v>
      </c>
      <c r="C277" t="s">
        <v>49</v>
      </c>
      <c r="D277">
        <v>0.46536920634920637</v>
      </c>
      <c r="E277" t="s">
        <v>458</v>
      </c>
      <c r="F277" s="4">
        <v>0.23268460317460318</v>
      </c>
      <c r="G277" s="1">
        <f>F277</f>
        <v>0.23268460317460318</v>
      </c>
      <c r="I277" s="12" t="s">
        <v>86</v>
      </c>
      <c r="J277" t="s">
        <v>485</v>
      </c>
    </row>
    <row r="278" spans="2:10" x14ac:dyDescent="0.3">
      <c r="B278" s="26" t="s">
        <v>15</v>
      </c>
      <c r="C278" s="8" t="s">
        <v>53</v>
      </c>
      <c r="D278" s="4" t="s">
        <v>486</v>
      </c>
      <c r="E278" t="s">
        <v>487</v>
      </c>
      <c r="F278" s="4">
        <v>0.14500000000000002</v>
      </c>
      <c r="G278" s="1">
        <f>AVERAGE(F278:F282)</f>
        <v>0.36914938406926401</v>
      </c>
      <c r="H278">
        <f>_xlfn.STDEV.P(F278:F281)</f>
        <v>0.19667127050820171</v>
      </c>
      <c r="I278" t="s">
        <v>488</v>
      </c>
    </row>
    <row r="279" spans="2:10" x14ac:dyDescent="0.3">
      <c r="B279" s="26" t="s">
        <v>15</v>
      </c>
      <c r="C279" s="8" t="s">
        <v>33</v>
      </c>
      <c r="D279" s="4">
        <v>74.099999999999994</v>
      </c>
      <c r="E279" t="s">
        <v>489</v>
      </c>
      <c r="F279" s="4">
        <v>0.55451612272727269</v>
      </c>
      <c r="I279" t="s">
        <v>490</v>
      </c>
    </row>
    <row r="280" spans="2:10" x14ac:dyDescent="0.3">
      <c r="B280" s="26" t="s">
        <v>15</v>
      </c>
      <c r="C280" s="8" t="s">
        <v>33</v>
      </c>
      <c r="D280" s="4" t="s">
        <v>491</v>
      </c>
      <c r="E280" t="s">
        <v>492</v>
      </c>
      <c r="F280" s="4">
        <v>0.46409271428571419</v>
      </c>
      <c r="I280" t="s">
        <v>493</v>
      </c>
      <c r="J280" t="s">
        <v>494</v>
      </c>
    </row>
    <row r="281" spans="2:10" x14ac:dyDescent="0.3">
      <c r="B281" s="26" t="s">
        <v>15</v>
      </c>
      <c r="C281" s="8" t="s">
        <v>33</v>
      </c>
      <c r="D281" s="4">
        <v>0.1</v>
      </c>
      <c r="E281" t="s">
        <v>495</v>
      </c>
      <c r="F281" s="4">
        <v>0.1</v>
      </c>
      <c r="I281" t="s">
        <v>496</v>
      </c>
    </row>
    <row r="282" spans="2:10" x14ac:dyDescent="0.3">
      <c r="B282" s="26" t="s">
        <v>15</v>
      </c>
      <c r="C282" s="8"/>
      <c r="D282" s="4" t="s">
        <v>497</v>
      </c>
      <c r="E282" t="s">
        <v>498</v>
      </c>
      <c r="F282" s="4">
        <v>0.58213808333333328</v>
      </c>
      <c r="I282" t="s">
        <v>499</v>
      </c>
    </row>
    <row r="283" spans="2:10" x14ac:dyDescent="0.3">
      <c r="B283" s="26" t="s">
        <v>15</v>
      </c>
      <c r="C283" s="8" t="s">
        <v>67</v>
      </c>
      <c r="D283" s="4">
        <v>0.27</v>
      </c>
      <c r="E283" t="s">
        <v>500</v>
      </c>
      <c r="F283" s="4">
        <v>9.4056000000000015E-2</v>
      </c>
      <c r="G283" s="1">
        <f>AVERAGE(F283:F284)</f>
        <v>0.19028922222222225</v>
      </c>
      <c r="H283">
        <f>_xlfn.STDEV.P(F284:F284)</f>
        <v>0</v>
      </c>
      <c r="I283" t="s">
        <v>501</v>
      </c>
      <c r="J283" t="s">
        <v>502</v>
      </c>
    </row>
    <row r="284" spans="2:10" x14ac:dyDescent="0.3">
      <c r="B284" s="26" t="s">
        <v>15</v>
      </c>
      <c r="C284" s="8" t="s">
        <v>33</v>
      </c>
      <c r="D284" s="4">
        <f>AVERAGE(0.73,0.7,0.84,1.02)</f>
        <v>0.82250000000000001</v>
      </c>
      <c r="E284" t="s">
        <v>503</v>
      </c>
      <c r="F284" s="4">
        <v>0.28652244444444447</v>
      </c>
      <c r="I284" t="s">
        <v>504</v>
      </c>
    </row>
    <row r="285" spans="2:10" x14ac:dyDescent="0.3">
      <c r="B285" s="26" t="s">
        <v>15</v>
      </c>
      <c r="C285" t="s">
        <v>84</v>
      </c>
      <c r="D285" s="4">
        <f>[1]Wheat!$E$510</f>
        <v>0.33447577777777776</v>
      </c>
      <c r="E285" t="s">
        <v>458</v>
      </c>
      <c r="F285" s="4">
        <v>0.16723788888888888</v>
      </c>
      <c r="G285" s="1">
        <f>F285</f>
        <v>0.16723788888888888</v>
      </c>
      <c r="I285" s="12" t="s">
        <v>86</v>
      </c>
    </row>
    <row r="286" spans="2:10" x14ac:dyDescent="0.3">
      <c r="B286" s="26" t="s">
        <v>15</v>
      </c>
      <c r="C286" s="8" t="s">
        <v>3</v>
      </c>
      <c r="D286" s="4" t="s">
        <v>505</v>
      </c>
      <c r="E286" t="s">
        <v>506</v>
      </c>
      <c r="F286" s="4">
        <v>0.12489403508771933</v>
      </c>
      <c r="G286" s="1">
        <f>F286</f>
        <v>0.12489403508771933</v>
      </c>
      <c r="H286">
        <v>0</v>
      </c>
      <c r="I286" t="s">
        <v>507</v>
      </c>
      <c r="J286" t="s">
        <v>508</v>
      </c>
    </row>
    <row r="287" spans="2:10" x14ac:dyDescent="0.3">
      <c r="B287" s="26" t="s">
        <v>15</v>
      </c>
      <c r="C287" s="8" t="s">
        <v>8</v>
      </c>
      <c r="D287" s="4">
        <f>[1]Tomato!$E$70</f>
        <v>2.1846514954264446E-2</v>
      </c>
      <c r="E287" t="s">
        <v>458</v>
      </c>
      <c r="F287" s="4">
        <v>1.0923257477132223E-2</v>
      </c>
      <c r="G287" s="1">
        <f>F287</f>
        <v>1.0923257477132223E-2</v>
      </c>
      <c r="I287" s="12" t="s">
        <v>86</v>
      </c>
    </row>
    <row r="288" spans="2:10" x14ac:dyDescent="0.3">
      <c r="B288" s="26" t="s">
        <v>15</v>
      </c>
      <c r="C288" s="8" t="s">
        <v>101</v>
      </c>
      <c r="D288" s="4">
        <f>[1]Tomato!$E$74</f>
        <v>6.2601627976190469E-2</v>
      </c>
      <c r="E288" t="s">
        <v>458</v>
      </c>
      <c r="F288" s="4">
        <v>3.1300813988095234E-2</v>
      </c>
      <c r="G288" s="1">
        <f>F288</f>
        <v>3.1300813988095234E-2</v>
      </c>
      <c r="I288" s="12" t="s">
        <v>86</v>
      </c>
      <c r="J288" t="s">
        <v>509</v>
      </c>
    </row>
    <row r="289" spans="2:15" x14ac:dyDescent="0.3">
      <c r="B289" s="26" t="s">
        <v>15</v>
      </c>
      <c r="C289" s="8" t="s">
        <v>105</v>
      </c>
      <c r="D289" s="4" t="s">
        <v>510</v>
      </c>
      <c r="E289" t="s">
        <v>511</v>
      </c>
      <c r="F289" s="4">
        <v>0.19619442713450291</v>
      </c>
      <c r="G289" s="1">
        <f>AVERAGE(F289:F291)</f>
        <v>0.1598649690302508</v>
      </c>
      <c r="H289">
        <f>_xlfn.STDEV.P(F289:F291)</f>
        <v>3.5246763272648016E-2</v>
      </c>
      <c r="I289" t="s">
        <v>512</v>
      </c>
    </row>
    <row r="290" spans="2:15" x14ac:dyDescent="0.3">
      <c r="B290" s="26" t="s">
        <v>15</v>
      </c>
      <c r="C290" s="8" t="s">
        <v>33</v>
      </c>
      <c r="D290">
        <v>41.39</v>
      </c>
      <c r="E290" t="s">
        <v>513</v>
      </c>
      <c r="F290" s="4">
        <v>0.17125746138315004</v>
      </c>
      <c r="I290" t="s">
        <v>514</v>
      </c>
    </row>
    <row r="291" spans="2:15" x14ac:dyDescent="0.3">
      <c r="B291" s="26" t="s">
        <v>15</v>
      </c>
      <c r="C291" s="8" t="s">
        <v>33</v>
      </c>
      <c r="D291" s="4" t="s">
        <v>515</v>
      </c>
      <c r="E291" t="s">
        <v>516</v>
      </c>
      <c r="F291" s="4">
        <v>0.1121430185730994</v>
      </c>
      <c r="I291" t="s">
        <v>517</v>
      </c>
      <c r="J291" t="s">
        <v>518</v>
      </c>
    </row>
    <row r="292" spans="2:15" x14ac:dyDescent="0.3">
      <c r="B292" s="26" t="s">
        <v>15</v>
      </c>
      <c r="C292" s="8" t="s">
        <v>119</v>
      </c>
      <c r="D292" s="4" t="s">
        <v>519</v>
      </c>
      <c r="E292" t="s">
        <v>511</v>
      </c>
      <c r="F292" s="4">
        <v>0.41551382809050502</v>
      </c>
      <c r="G292" s="1">
        <f>AVERAGE(F292, F294:F296)</f>
        <v>0.49376094272161619</v>
      </c>
      <c r="H292">
        <f>_xlfn.STDEV.P(F292:F296)</f>
        <v>0.19278003430766319</v>
      </c>
      <c r="I292" t="s">
        <v>520</v>
      </c>
      <c r="J292" t="s">
        <v>521</v>
      </c>
    </row>
    <row r="293" spans="2:15" x14ac:dyDescent="0.3">
      <c r="B293" s="26" t="s">
        <v>15</v>
      </c>
      <c r="C293" s="8" t="s">
        <v>33</v>
      </c>
      <c r="D293" s="4" t="s">
        <v>522</v>
      </c>
      <c r="E293" t="s">
        <v>523</v>
      </c>
      <c r="F293" s="4">
        <v>4.878956727272727E-2</v>
      </c>
      <c r="I293" t="s">
        <v>524</v>
      </c>
      <c r="J293" t="s">
        <v>525</v>
      </c>
    </row>
    <row r="294" spans="2:15" x14ac:dyDescent="0.3">
      <c r="B294" s="26" t="s">
        <v>15</v>
      </c>
      <c r="C294" s="8" t="s">
        <v>33</v>
      </c>
      <c r="D294" s="4">
        <v>0.81</v>
      </c>
      <c r="E294" t="s">
        <v>526</v>
      </c>
      <c r="F294" s="4">
        <v>0.62628619418181819</v>
      </c>
      <c r="I294" t="s">
        <v>527</v>
      </c>
      <c r="J294" t="s">
        <v>528</v>
      </c>
    </row>
    <row r="295" spans="2:15" x14ac:dyDescent="0.3">
      <c r="B295" s="26" t="s">
        <v>15</v>
      </c>
      <c r="C295" s="8" t="s">
        <v>33</v>
      </c>
      <c r="D295" s="4" t="s">
        <v>529</v>
      </c>
      <c r="E295" t="s">
        <v>526</v>
      </c>
      <c r="F295" s="4">
        <v>0.43298798610101014</v>
      </c>
      <c r="I295" t="s">
        <v>530</v>
      </c>
      <c r="J295" t="s">
        <v>531</v>
      </c>
      <c r="K295" t="s">
        <v>532</v>
      </c>
    </row>
    <row r="296" spans="2:15" x14ac:dyDescent="0.3">
      <c r="B296" s="26" t="s">
        <v>15</v>
      </c>
      <c r="C296" s="8" t="s">
        <v>33</v>
      </c>
      <c r="D296" s="4">
        <v>64.7</v>
      </c>
      <c r="E296" t="s">
        <v>533</v>
      </c>
      <c r="F296" s="4">
        <v>0.50025576251313131</v>
      </c>
      <c r="I296" t="s">
        <v>534</v>
      </c>
      <c r="J296" t="s">
        <v>535</v>
      </c>
    </row>
    <row r="297" spans="2:15" x14ac:dyDescent="0.3">
      <c r="B297" s="26" t="s">
        <v>15</v>
      </c>
      <c r="C297" s="8" t="s">
        <v>133</v>
      </c>
      <c r="D297" s="4" t="s">
        <v>536</v>
      </c>
      <c r="E297" t="s">
        <v>537</v>
      </c>
      <c r="F297" s="4">
        <v>0.38767666666666667</v>
      </c>
      <c r="G297" s="1">
        <f>AVERAGE(F297:F298)</f>
        <v>0.41271798245614033</v>
      </c>
      <c r="H297">
        <f>_xlfn.STDEV.P(F297:F298)</f>
        <v>2.5041315789473689E-2</v>
      </c>
      <c r="I297" t="s">
        <v>538</v>
      </c>
      <c r="J297" t="s">
        <v>539</v>
      </c>
    </row>
    <row r="298" spans="2:15" x14ac:dyDescent="0.3">
      <c r="B298" s="26" t="s">
        <v>15</v>
      </c>
      <c r="C298" s="8" t="s">
        <v>33</v>
      </c>
      <c r="D298" s="4">
        <v>1.2</v>
      </c>
      <c r="E298" t="s">
        <v>540</v>
      </c>
      <c r="F298" s="4">
        <v>0.43775929824561405</v>
      </c>
      <c r="I298" t="s">
        <v>541</v>
      </c>
      <c r="J298" t="s">
        <v>542</v>
      </c>
    </row>
    <row r="299" spans="2:15" x14ac:dyDescent="0.3">
      <c r="B299" s="26" t="s">
        <v>15</v>
      </c>
      <c r="C299" t="s">
        <v>4</v>
      </c>
      <c r="D299" s="4">
        <f>'[1]Sugar Beet'!$E$382</f>
        <v>0.11720177140558213</v>
      </c>
      <c r="E299" t="s">
        <v>458</v>
      </c>
      <c r="F299" s="4">
        <v>5.8600885702791067E-2</v>
      </c>
      <c r="G299" s="1">
        <f t="shared" ref="G299:G307" si="7">F299</f>
        <v>5.8600885702791067E-2</v>
      </c>
      <c r="I299" s="12" t="s">
        <v>86</v>
      </c>
      <c r="J299" t="s">
        <v>543</v>
      </c>
    </row>
    <row r="300" spans="2:15" x14ac:dyDescent="0.3">
      <c r="B300" s="26" t="s">
        <v>15</v>
      </c>
      <c r="C300" s="8" t="s">
        <v>165</v>
      </c>
      <c r="D300" s="4" t="s">
        <v>544</v>
      </c>
      <c r="E300" t="s">
        <v>545</v>
      </c>
      <c r="F300" s="4">
        <v>0.33507425845302624</v>
      </c>
      <c r="G300" s="1">
        <f t="shared" si="7"/>
        <v>0.33507425845302624</v>
      </c>
      <c r="H300">
        <v>0</v>
      </c>
      <c r="I300" t="s">
        <v>546</v>
      </c>
      <c r="J300" t="s">
        <v>547</v>
      </c>
    </row>
    <row r="301" spans="2:15" x14ac:dyDescent="0.3">
      <c r="B301" s="26" t="s">
        <v>15</v>
      </c>
      <c r="C301" s="8" t="s">
        <v>181</v>
      </c>
      <c r="D301" s="4" t="s">
        <v>548</v>
      </c>
      <c r="E301" t="s">
        <v>549</v>
      </c>
      <c r="F301" s="4">
        <v>3.7056762719298239E-2</v>
      </c>
      <c r="G301" s="1">
        <f t="shared" si="7"/>
        <v>3.7056762719298239E-2</v>
      </c>
      <c r="H301">
        <v>0</v>
      </c>
      <c r="I301" t="s">
        <v>550</v>
      </c>
    </row>
    <row r="302" spans="2:15" x14ac:dyDescent="0.3">
      <c r="B302" s="26" t="s">
        <v>15</v>
      </c>
      <c r="C302" s="8" t="s">
        <v>198</v>
      </c>
      <c r="D302" s="4">
        <v>0.55150476190476216</v>
      </c>
      <c r="E302" t="s">
        <v>458</v>
      </c>
      <c r="F302" s="4">
        <v>0.27575238095238108</v>
      </c>
      <c r="G302" s="1">
        <f t="shared" si="7"/>
        <v>0.27575238095238108</v>
      </c>
      <c r="I302" s="12" t="s">
        <v>86</v>
      </c>
      <c r="J302" t="s">
        <v>551</v>
      </c>
      <c r="K302" t="s">
        <v>552</v>
      </c>
      <c r="O302" t="s">
        <v>553</v>
      </c>
    </row>
    <row r="303" spans="2:15" x14ac:dyDescent="0.3">
      <c r="B303" s="26" t="s">
        <v>15</v>
      </c>
      <c r="C303" s="8" t="s">
        <v>209</v>
      </c>
      <c r="D303">
        <v>0.125</v>
      </c>
      <c r="E303" t="s">
        <v>554</v>
      </c>
      <c r="F303">
        <v>0.125</v>
      </c>
      <c r="G303" s="1">
        <f t="shared" si="7"/>
        <v>0.125</v>
      </c>
      <c r="I303" t="s">
        <v>555</v>
      </c>
      <c r="J303" t="s">
        <v>556</v>
      </c>
      <c r="K303" t="s">
        <v>557</v>
      </c>
    </row>
    <row r="304" spans="2:15" x14ac:dyDescent="0.3">
      <c r="B304" s="26" t="s">
        <v>15</v>
      </c>
      <c r="C304" s="16" t="s">
        <v>221</v>
      </c>
      <c r="D304" s="4">
        <v>0.17720063349529128</v>
      </c>
      <c r="E304" t="s">
        <v>458</v>
      </c>
      <c r="F304" s="4">
        <v>8.8600316747645638E-2</v>
      </c>
      <c r="G304" s="1">
        <f t="shared" si="7"/>
        <v>8.8600316747645638E-2</v>
      </c>
      <c r="I304" s="12" t="s">
        <v>86</v>
      </c>
    </row>
    <row r="305" spans="1:28" x14ac:dyDescent="0.3">
      <c r="B305" s="26" t="s">
        <v>15</v>
      </c>
      <c r="C305" s="16" t="s">
        <v>9</v>
      </c>
      <c r="D305" s="4">
        <v>9.3195236183709257E-2</v>
      </c>
      <c r="E305" t="s">
        <v>458</v>
      </c>
      <c r="F305" s="4">
        <v>4.6597618091854628E-2</v>
      </c>
      <c r="G305" s="1">
        <f t="shared" si="7"/>
        <v>4.6597618091854628E-2</v>
      </c>
      <c r="I305" s="12" t="s">
        <v>86</v>
      </c>
    </row>
    <row r="306" spans="1:28" x14ac:dyDescent="0.3">
      <c r="B306" s="26" t="s">
        <v>15</v>
      </c>
      <c r="C306" s="16" t="s">
        <v>246</v>
      </c>
      <c r="D306" s="4">
        <v>0.44959424285714289</v>
      </c>
      <c r="E306" t="s">
        <v>458</v>
      </c>
      <c r="F306" s="4">
        <v>0.22479712142857144</v>
      </c>
      <c r="G306" s="1">
        <f t="shared" si="7"/>
        <v>0.22479712142857144</v>
      </c>
      <c r="I306" s="12" t="s">
        <v>86</v>
      </c>
    </row>
    <row r="307" spans="1:28" ht="15" customHeight="1" x14ac:dyDescent="0.3">
      <c r="B307" s="26" t="s">
        <v>15</v>
      </c>
      <c r="C307" s="16" t="s">
        <v>257</v>
      </c>
      <c r="D307" s="4">
        <v>7.7658939849624062E-2</v>
      </c>
      <c r="E307" t="s">
        <v>458</v>
      </c>
      <c r="F307" s="4">
        <v>3.8829469924812031E-2</v>
      </c>
      <c r="G307" s="1">
        <f t="shared" si="7"/>
        <v>3.8829469924812031E-2</v>
      </c>
      <c r="I307" s="12" t="s">
        <v>86</v>
      </c>
    </row>
    <row r="308" spans="1:28" x14ac:dyDescent="0.3">
      <c r="B308" s="26" t="s">
        <v>15</v>
      </c>
      <c r="C308" s="16" t="s">
        <v>272</v>
      </c>
      <c r="D308" s="4">
        <v>0.122</v>
      </c>
      <c r="E308" t="s">
        <v>558</v>
      </c>
      <c r="F308" s="4">
        <v>0.122</v>
      </c>
      <c r="G308" s="1">
        <f>AVERAGE(F308:F311)</f>
        <v>0.12221685722284434</v>
      </c>
      <c r="H308">
        <f>_xlfn.STDEV.P(F308:F311)</f>
        <v>1.7149094850968272E-2</v>
      </c>
      <c r="I308" t="s">
        <v>559</v>
      </c>
    </row>
    <row r="309" spans="1:28" x14ac:dyDescent="0.3">
      <c r="B309" s="26" t="s">
        <v>15</v>
      </c>
      <c r="C309" s="16" t="s">
        <v>33</v>
      </c>
      <c r="D309" s="4">
        <v>4.4800000000000004</v>
      </c>
      <c r="E309" t="s">
        <v>560</v>
      </c>
      <c r="F309" s="4">
        <v>0.15020023590892123</v>
      </c>
      <c r="I309" t="s">
        <v>561</v>
      </c>
    </row>
    <row r="310" spans="1:28" x14ac:dyDescent="0.3">
      <c r="B310" s="26" t="s">
        <v>15</v>
      </c>
      <c r="C310" s="16" t="s">
        <v>33</v>
      </c>
      <c r="D310" s="4" t="s">
        <v>562</v>
      </c>
      <c r="E310" t="s">
        <v>563</v>
      </c>
      <c r="F310" s="4">
        <v>0.10636389473684212</v>
      </c>
      <c r="I310" t="s">
        <v>564</v>
      </c>
    </row>
    <row r="311" spans="1:28" x14ac:dyDescent="0.3">
      <c r="B311" s="26" t="s">
        <v>15</v>
      </c>
      <c r="C311" s="16" t="s">
        <v>33</v>
      </c>
      <c r="D311" s="4">
        <v>0.7</v>
      </c>
      <c r="E311" t="s">
        <v>563</v>
      </c>
      <c r="F311" s="4">
        <v>0.11030329824561402</v>
      </c>
      <c r="I311" t="s">
        <v>565</v>
      </c>
    </row>
    <row r="312" spans="1:28" x14ac:dyDescent="0.3">
      <c r="B312" s="26" t="s">
        <v>15</v>
      </c>
      <c r="C312" s="16" t="s">
        <v>280</v>
      </c>
      <c r="D312" s="4">
        <v>0.10921479699248123</v>
      </c>
      <c r="E312" t="s">
        <v>458</v>
      </c>
      <c r="F312" s="4">
        <v>5.4607398496240613E-2</v>
      </c>
      <c r="G312" s="1">
        <f t="shared" ref="G312:G352" si="8">F312</f>
        <v>5.4607398496240613E-2</v>
      </c>
      <c r="I312" s="12" t="s">
        <v>86</v>
      </c>
    </row>
    <row r="313" spans="1:28" x14ac:dyDescent="0.3">
      <c r="B313" s="26" t="s">
        <v>15</v>
      </c>
      <c r="C313" s="16" t="s">
        <v>293</v>
      </c>
      <c r="D313" s="4">
        <v>0.32824203535353536</v>
      </c>
      <c r="E313" t="s">
        <v>458</v>
      </c>
      <c r="F313" s="4">
        <v>0.16412101767676768</v>
      </c>
      <c r="G313" s="1">
        <f t="shared" si="8"/>
        <v>0.16412101767676768</v>
      </c>
      <c r="I313" s="12" t="s">
        <v>86</v>
      </c>
    </row>
    <row r="314" spans="1:28" x14ac:dyDescent="0.3">
      <c r="B314" s="26" t="s">
        <v>15</v>
      </c>
      <c r="C314" s="16" t="s">
        <v>306</v>
      </c>
      <c r="D314" s="4">
        <v>7.9658995450274175E-2</v>
      </c>
      <c r="E314" t="s">
        <v>458</v>
      </c>
      <c r="F314" s="4">
        <v>3.9829497725137088E-2</v>
      </c>
      <c r="G314" s="1">
        <f t="shared" si="8"/>
        <v>3.9829497725137088E-2</v>
      </c>
      <c r="I314" s="12" t="s">
        <v>86</v>
      </c>
    </row>
    <row r="315" spans="1:28" ht="15" customHeight="1" x14ac:dyDescent="0.3">
      <c r="B315" s="26" t="s">
        <v>15</v>
      </c>
      <c r="C315" s="16" t="s">
        <v>312</v>
      </c>
      <c r="D315" s="4">
        <v>0.14442841925095376</v>
      </c>
      <c r="E315" t="s">
        <v>458</v>
      </c>
      <c r="F315" s="4">
        <v>7.221420962547688E-2</v>
      </c>
      <c r="G315" s="1">
        <f t="shared" si="8"/>
        <v>7.221420962547688E-2</v>
      </c>
      <c r="I315" s="12" t="s">
        <v>86</v>
      </c>
    </row>
    <row r="316" spans="1:28" x14ac:dyDescent="0.3">
      <c r="B316" s="26" t="s">
        <v>15</v>
      </c>
      <c r="C316" s="16" t="s">
        <v>326</v>
      </c>
      <c r="D316" s="4">
        <v>0.13810983742737698</v>
      </c>
      <c r="E316" t="s">
        <v>458</v>
      </c>
      <c r="F316" s="4">
        <v>6.905491871368849E-2</v>
      </c>
      <c r="G316" s="1">
        <f t="shared" si="8"/>
        <v>6.905491871368849E-2</v>
      </c>
      <c r="I316" s="12" t="s">
        <v>86</v>
      </c>
    </row>
    <row r="317" spans="1:28" x14ac:dyDescent="0.3">
      <c r="B317" s="26" t="s">
        <v>15</v>
      </c>
      <c r="C317" s="16" t="s">
        <v>6</v>
      </c>
      <c r="D317" s="4">
        <v>0.57150869590985043</v>
      </c>
      <c r="E317" t="s">
        <v>458</v>
      </c>
      <c r="F317" s="4">
        <v>0.28575434795492521</v>
      </c>
      <c r="G317" s="1">
        <f t="shared" si="8"/>
        <v>0.28575434795492521</v>
      </c>
      <c r="I317" s="12" t="s">
        <v>86</v>
      </c>
    </row>
    <row r="318" spans="1:28" x14ac:dyDescent="0.3">
      <c r="B318" s="26" t="s">
        <v>15</v>
      </c>
      <c r="C318" s="16" t="s">
        <v>339</v>
      </c>
      <c r="D318" s="4">
        <v>0.11146151476911977</v>
      </c>
      <c r="E318" t="s">
        <v>458</v>
      </c>
      <c r="F318" s="4">
        <v>5.5730757384559883E-2</v>
      </c>
      <c r="G318" s="1">
        <f t="shared" si="8"/>
        <v>5.5730757384559883E-2</v>
      </c>
      <c r="I318" s="12" t="s">
        <v>86</v>
      </c>
    </row>
    <row r="319" spans="1:28" x14ac:dyDescent="0.3">
      <c r="B319" s="26" t="s">
        <v>15</v>
      </c>
      <c r="C319" s="16" t="s">
        <v>354</v>
      </c>
      <c r="D319" s="4">
        <v>0.12</v>
      </c>
      <c r="E319" t="s">
        <v>566</v>
      </c>
      <c r="F319" s="4">
        <v>0.124</v>
      </c>
      <c r="G319" s="1">
        <f t="shared" si="8"/>
        <v>0.124</v>
      </c>
      <c r="I319" s="9" t="s">
        <v>567</v>
      </c>
    </row>
    <row r="320" spans="1:28" x14ac:dyDescent="0.3">
      <c r="A320" s="13"/>
      <c r="B320" s="26" t="s">
        <v>15</v>
      </c>
      <c r="C320" t="s">
        <v>7</v>
      </c>
      <c r="D320" s="4">
        <f>[1]rapeseed!$E$138</f>
        <v>6.9783142857142863E-2</v>
      </c>
      <c r="E320" t="s">
        <v>458</v>
      </c>
      <c r="F320" s="4">
        <v>3.4891571428571432E-2</v>
      </c>
      <c r="G320" s="1">
        <f t="shared" si="8"/>
        <v>3.4891571428571432E-2</v>
      </c>
      <c r="I320" s="12" t="s">
        <v>86</v>
      </c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</row>
    <row r="321" spans="1:28" x14ac:dyDescent="0.3">
      <c r="A321" s="13"/>
      <c r="B321" s="26" t="s">
        <v>15</v>
      </c>
      <c r="C321" t="s">
        <v>354</v>
      </c>
      <c r="D321" s="4">
        <v>12.4</v>
      </c>
      <c r="E321" t="s">
        <v>568</v>
      </c>
      <c r="F321" s="4">
        <v>0.11164133333333333</v>
      </c>
      <c r="G321" s="1">
        <f t="shared" si="8"/>
        <v>0.11164133333333333</v>
      </c>
      <c r="I321" t="s">
        <v>569</v>
      </c>
      <c r="J321" s="9" t="s">
        <v>570</v>
      </c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</row>
    <row r="322" spans="1:28" ht="15" customHeight="1" x14ac:dyDescent="0.3">
      <c r="B322" s="27" t="s">
        <v>16</v>
      </c>
      <c r="C322" s="8" t="s">
        <v>5</v>
      </c>
      <c r="D322" s="4" t="s">
        <v>571</v>
      </c>
      <c r="E322" t="s">
        <v>572</v>
      </c>
      <c r="F322">
        <v>0.11914305514403292</v>
      </c>
      <c r="G322" s="1">
        <f>F322</f>
        <v>0.11914305514403292</v>
      </c>
      <c r="H322">
        <v>0</v>
      </c>
      <c r="I322" t="s">
        <v>573</v>
      </c>
    </row>
    <row r="323" spans="1:28" ht="15" customHeight="1" x14ac:dyDescent="0.3">
      <c r="B323" s="27" t="s">
        <v>16</v>
      </c>
      <c r="C323" s="8" t="s">
        <v>44</v>
      </c>
      <c r="D323" s="4">
        <f>[1]corn!$E$385</f>
        <v>0.11686111111111111</v>
      </c>
      <c r="E323" t="s">
        <v>458</v>
      </c>
      <c r="F323" s="4">
        <v>5.8430555555555555E-2</v>
      </c>
      <c r="G323" s="1">
        <f>F323</f>
        <v>5.8430555555555555E-2</v>
      </c>
      <c r="I323" s="12" t="s">
        <v>86</v>
      </c>
    </row>
    <row r="324" spans="1:28" x14ac:dyDescent="0.3">
      <c r="B324" s="27" t="s">
        <v>16</v>
      </c>
      <c r="C324" t="s">
        <v>49</v>
      </c>
      <c r="D324">
        <f>[1]corn!$E$392</f>
        <v>0.37978888888888895</v>
      </c>
      <c r="E324" t="s">
        <v>458</v>
      </c>
      <c r="F324" s="4">
        <v>0.18989444444444448</v>
      </c>
      <c r="G324" s="1">
        <f t="shared" si="8"/>
        <v>0.18989444444444448</v>
      </c>
      <c r="I324" s="12" t="s">
        <v>86</v>
      </c>
      <c r="J324" t="s">
        <v>574</v>
      </c>
    </row>
    <row r="325" spans="1:28" x14ac:dyDescent="0.3">
      <c r="B325" s="27" t="s">
        <v>16</v>
      </c>
      <c r="C325" s="8" t="s">
        <v>53</v>
      </c>
      <c r="D325" s="4">
        <f>[1]Wheat!$E$514</f>
        <v>0.16738681666666663</v>
      </c>
      <c r="E325" t="s">
        <v>458</v>
      </c>
      <c r="F325" s="4">
        <v>8.3693408333333316E-2</v>
      </c>
      <c r="G325" s="1">
        <f t="shared" si="8"/>
        <v>8.3693408333333316E-2</v>
      </c>
      <c r="I325" s="12" t="s">
        <v>86</v>
      </c>
    </row>
    <row r="326" spans="1:28" x14ac:dyDescent="0.3">
      <c r="B326" s="27" t="s">
        <v>16</v>
      </c>
      <c r="C326" s="8" t="s">
        <v>67</v>
      </c>
      <c r="D326" s="4">
        <f>[1]Wheat!$E$518</f>
        <v>8.2386088888888889E-2</v>
      </c>
      <c r="E326" t="s">
        <v>458</v>
      </c>
      <c r="F326" s="4">
        <v>4.1193044444444445E-2</v>
      </c>
      <c r="G326" s="1">
        <f t="shared" si="8"/>
        <v>4.1193044444444445E-2</v>
      </c>
      <c r="I326" s="12" t="s">
        <v>86</v>
      </c>
    </row>
    <row r="327" spans="1:28" x14ac:dyDescent="0.3">
      <c r="B327" s="27" t="s">
        <v>16</v>
      </c>
      <c r="C327" s="8" t="s">
        <v>84</v>
      </c>
      <c r="D327" s="4">
        <f>[1]Wheat!$E$522</f>
        <v>9.8856999999999987E-2</v>
      </c>
      <c r="E327" t="s">
        <v>458</v>
      </c>
      <c r="F327" s="4">
        <v>4.9428499999999993E-2</v>
      </c>
      <c r="G327" s="1">
        <f t="shared" si="8"/>
        <v>4.9428499999999993E-2</v>
      </c>
      <c r="I327" s="12" t="s">
        <v>86</v>
      </c>
    </row>
    <row r="328" spans="1:28" x14ac:dyDescent="0.3">
      <c r="B328" s="27" t="s">
        <v>16</v>
      </c>
      <c r="C328" t="s">
        <v>3</v>
      </c>
      <c r="D328" s="4">
        <v>3.6921799122807027E-2</v>
      </c>
      <c r="E328" t="s">
        <v>458</v>
      </c>
      <c r="F328" s="4">
        <v>1.8460899561403513E-2</v>
      </c>
      <c r="G328" s="1">
        <f t="shared" si="8"/>
        <v>1.8460899561403513E-2</v>
      </c>
      <c r="I328" s="12" t="s">
        <v>86</v>
      </c>
    </row>
    <row r="329" spans="1:28" x14ac:dyDescent="0.3">
      <c r="B329" s="27" t="s">
        <v>16</v>
      </c>
      <c r="C329" s="8" t="s">
        <v>8</v>
      </c>
      <c r="D329" s="4">
        <f>[1]Tomato!$E$78</f>
        <v>3.469899564678362E-3</v>
      </c>
      <c r="E329" t="s">
        <v>458</v>
      </c>
      <c r="F329" s="4">
        <v>1.734949782339181E-3</v>
      </c>
      <c r="G329" s="1">
        <f t="shared" si="8"/>
        <v>1.734949782339181E-3</v>
      </c>
      <c r="I329" s="12" t="s">
        <v>86</v>
      </c>
    </row>
    <row r="330" spans="1:28" x14ac:dyDescent="0.3">
      <c r="B330" s="27" t="s">
        <v>16</v>
      </c>
      <c r="C330" s="8" t="s">
        <v>101</v>
      </c>
      <c r="D330" s="4">
        <f>[1]Tomato!$E$82</f>
        <v>1.4684679166666666E-2</v>
      </c>
      <c r="E330" t="s">
        <v>458</v>
      </c>
      <c r="F330" s="4">
        <v>7.3423395833333328E-3</v>
      </c>
      <c r="G330" s="1">
        <f t="shared" si="8"/>
        <v>7.3423395833333328E-3</v>
      </c>
      <c r="I330" s="12" t="s">
        <v>86</v>
      </c>
    </row>
    <row r="331" spans="1:28" x14ac:dyDescent="0.3">
      <c r="B331" s="27" t="s">
        <v>16</v>
      </c>
      <c r="C331" s="8" t="s">
        <v>105</v>
      </c>
      <c r="D331" s="4">
        <f>[1]Sugarcane!$E$572</f>
        <v>4.6941281225730991E-2</v>
      </c>
      <c r="E331" t="s">
        <v>458</v>
      </c>
      <c r="F331" s="4">
        <v>2.3470640612865495E-2</v>
      </c>
      <c r="G331" s="1">
        <f t="shared" si="8"/>
        <v>2.3470640612865495E-2</v>
      </c>
      <c r="I331" s="12" t="s">
        <v>86</v>
      </c>
    </row>
    <row r="332" spans="1:28" x14ac:dyDescent="0.3">
      <c r="B332" s="27" t="s">
        <v>16</v>
      </c>
      <c r="C332" s="8" t="s">
        <v>119</v>
      </c>
      <c r="D332" s="4">
        <f>[1]Sugarcane!$E$576</f>
        <v>0.15327361084444444</v>
      </c>
      <c r="E332" t="s">
        <v>458</v>
      </c>
      <c r="F332" s="4">
        <v>7.6636805422222218E-2</v>
      </c>
      <c r="G332" s="1">
        <f t="shared" si="8"/>
        <v>7.6636805422222218E-2</v>
      </c>
      <c r="I332" s="12" t="s">
        <v>86</v>
      </c>
    </row>
    <row r="333" spans="1:28" x14ac:dyDescent="0.3">
      <c r="B333" s="27" t="s">
        <v>16</v>
      </c>
      <c r="C333" s="8" t="s">
        <v>133</v>
      </c>
      <c r="D333" s="4">
        <f>[1]Sugarcane!$E$581</f>
        <v>6.4738763157894716E-2</v>
      </c>
      <c r="E333" t="s">
        <v>458</v>
      </c>
      <c r="F333" s="4">
        <v>3.2369381578947358E-2</v>
      </c>
      <c r="G333" s="1">
        <f t="shared" si="8"/>
        <v>3.2369381578947358E-2</v>
      </c>
      <c r="I333" s="12" t="s">
        <v>86</v>
      </c>
    </row>
    <row r="334" spans="1:28" x14ac:dyDescent="0.3">
      <c r="B334" s="27" t="s">
        <v>16</v>
      </c>
      <c r="C334" t="s">
        <v>4</v>
      </c>
      <c r="D334" s="4">
        <f>'[1]Sugar Beet'!$E$416</f>
        <v>4.154765151219298E-2</v>
      </c>
      <c r="E334" t="s">
        <v>458</v>
      </c>
      <c r="F334" s="4">
        <v>2.077382575609649E-2</v>
      </c>
      <c r="G334" s="1">
        <f t="shared" si="8"/>
        <v>2.077382575609649E-2</v>
      </c>
      <c r="I334" s="12" t="s">
        <v>86</v>
      </c>
    </row>
    <row r="335" spans="1:28" x14ac:dyDescent="0.3">
      <c r="B335" s="27" t="s">
        <v>16</v>
      </c>
      <c r="C335" t="s">
        <v>165</v>
      </c>
      <c r="D335" s="4">
        <f>'[1]Sugar Beet'!$E$421</f>
        <v>0.1067273563961491</v>
      </c>
      <c r="E335" t="s">
        <v>458</v>
      </c>
      <c r="F335" s="4">
        <v>5.3363678198074548E-2</v>
      </c>
      <c r="G335" s="1">
        <f t="shared" si="8"/>
        <v>5.3363678198074548E-2</v>
      </c>
      <c r="I335" s="12" t="s">
        <v>86</v>
      </c>
    </row>
    <row r="336" spans="1:28" x14ac:dyDescent="0.3">
      <c r="B336" s="27" t="s">
        <v>16</v>
      </c>
      <c r="C336" t="s">
        <v>181</v>
      </c>
      <c r="D336" s="4">
        <f>'[1]Sugar Beet'!$E$426</f>
        <v>7.2131008390350859E-2</v>
      </c>
      <c r="E336" t="s">
        <v>458</v>
      </c>
      <c r="F336" s="4">
        <v>3.606550419517543E-2</v>
      </c>
      <c r="G336" s="1">
        <f t="shared" si="8"/>
        <v>3.606550419517543E-2</v>
      </c>
      <c r="I336" s="12" t="s">
        <v>86</v>
      </c>
    </row>
    <row r="337" spans="1:28" x14ac:dyDescent="0.3">
      <c r="B337" s="27" t="s">
        <v>16</v>
      </c>
      <c r="C337" s="8" t="s">
        <v>198</v>
      </c>
      <c r="D337" s="4">
        <v>0.19550666666666666</v>
      </c>
      <c r="E337" t="s">
        <v>458</v>
      </c>
      <c r="F337" s="4">
        <v>9.7753333333333331E-2</v>
      </c>
      <c r="G337" s="1">
        <f t="shared" si="8"/>
        <v>9.7753333333333331E-2</v>
      </c>
      <c r="I337" s="12" t="s">
        <v>86</v>
      </c>
    </row>
    <row r="338" spans="1:28" x14ac:dyDescent="0.3">
      <c r="B338" s="27" t="s">
        <v>16</v>
      </c>
      <c r="C338" s="8" t="s">
        <v>209</v>
      </c>
      <c r="D338">
        <v>8.2974890755555544E-2</v>
      </c>
      <c r="E338" t="s">
        <v>554</v>
      </c>
      <c r="F338">
        <v>0.125</v>
      </c>
      <c r="G338" s="1">
        <f t="shared" si="8"/>
        <v>0.125</v>
      </c>
      <c r="I338" s="12" t="s">
        <v>86</v>
      </c>
    </row>
    <row r="339" spans="1:28" x14ac:dyDescent="0.3">
      <c r="B339" s="27" t="s">
        <v>16</v>
      </c>
      <c r="C339" s="16" t="s">
        <v>221</v>
      </c>
      <c r="D339" s="4">
        <v>3.9241554321637423E-2</v>
      </c>
      <c r="E339" t="s">
        <v>458</v>
      </c>
      <c r="F339" s="4">
        <v>1.9620777160818711E-2</v>
      </c>
      <c r="G339" s="1">
        <f t="shared" si="8"/>
        <v>1.9620777160818711E-2</v>
      </c>
      <c r="I339" s="12" t="s">
        <v>86</v>
      </c>
    </row>
    <row r="340" spans="1:28" x14ac:dyDescent="0.3">
      <c r="B340" s="27" t="s">
        <v>16</v>
      </c>
      <c r="C340" s="16" t="s">
        <v>9</v>
      </c>
      <c r="D340" s="4">
        <v>1.0545879128245613E-2</v>
      </c>
      <c r="E340" t="s">
        <v>458</v>
      </c>
      <c r="F340" s="4">
        <v>5.2729395641228066E-3</v>
      </c>
      <c r="G340" s="1">
        <f t="shared" si="8"/>
        <v>5.2729395641228066E-3</v>
      </c>
      <c r="I340" s="12" t="s">
        <v>86</v>
      </c>
    </row>
    <row r="341" spans="1:28" x14ac:dyDescent="0.3">
      <c r="B341" s="27" t="s">
        <v>16</v>
      </c>
      <c r="C341" s="16" t="s">
        <v>246</v>
      </c>
      <c r="D341" s="4">
        <v>8.8829400000000003E-2</v>
      </c>
      <c r="E341" t="s">
        <v>458</v>
      </c>
      <c r="F341" s="4">
        <v>4.4414700000000001E-2</v>
      </c>
      <c r="G341" s="1">
        <f t="shared" si="8"/>
        <v>4.4414700000000001E-2</v>
      </c>
      <c r="I341" s="12" t="s">
        <v>86</v>
      </c>
    </row>
    <row r="342" spans="1:28" ht="15" customHeight="1" x14ac:dyDescent="0.3">
      <c r="B342" s="27" t="s">
        <v>16</v>
      </c>
      <c r="C342" s="16" t="s">
        <v>257</v>
      </c>
      <c r="D342" s="4">
        <v>9.9927473684210608E-3</v>
      </c>
      <c r="E342" t="s">
        <v>458</v>
      </c>
      <c r="F342" s="4">
        <v>4.9963736842105304E-3</v>
      </c>
      <c r="G342" s="1">
        <f t="shared" si="8"/>
        <v>4.9963736842105304E-3</v>
      </c>
      <c r="I342" s="12" t="s">
        <v>86</v>
      </c>
    </row>
    <row r="343" spans="1:28" x14ac:dyDescent="0.3">
      <c r="B343" s="27" t="s">
        <v>16</v>
      </c>
      <c r="C343" s="16" t="s">
        <v>272</v>
      </c>
      <c r="D343" s="4">
        <v>2.489905192982456E-2</v>
      </c>
      <c r="E343" t="s">
        <v>558</v>
      </c>
      <c r="F343" s="4">
        <v>0.122</v>
      </c>
      <c r="G343" s="1">
        <f t="shared" si="8"/>
        <v>0.122</v>
      </c>
      <c r="I343" s="12" t="s">
        <v>86</v>
      </c>
    </row>
    <row r="344" spans="1:28" x14ac:dyDescent="0.3">
      <c r="B344" s="27" t="s">
        <v>16</v>
      </c>
      <c r="C344" s="16" t="s">
        <v>280</v>
      </c>
      <c r="D344" s="4">
        <v>2.0256847368421052E-2</v>
      </c>
      <c r="E344" t="s">
        <v>458</v>
      </c>
      <c r="F344" s="4">
        <v>1.0128423684210526E-2</v>
      </c>
      <c r="G344" s="1">
        <f t="shared" si="8"/>
        <v>1.0128423684210526E-2</v>
      </c>
      <c r="I344" s="12" t="s">
        <v>86</v>
      </c>
    </row>
    <row r="345" spans="1:28" x14ac:dyDescent="0.3">
      <c r="B345" s="27" t="s">
        <v>16</v>
      </c>
      <c r="C345" s="16" t="s">
        <v>293</v>
      </c>
      <c r="D345" s="4">
        <v>6.0304872222222215E-2</v>
      </c>
      <c r="E345" t="s">
        <v>458</v>
      </c>
      <c r="F345" s="4">
        <v>3.0152436111111108E-2</v>
      </c>
      <c r="G345" s="1">
        <f t="shared" si="8"/>
        <v>3.0152436111111108E-2</v>
      </c>
      <c r="I345" s="12" t="s">
        <v>86</v>
      </c>
    </row>
    <row r="346" spans="1:28" x14ac:dyDescent="0.3">
      <c r="B346" s="27" t="s">
        <v>16</v>
      </c>
      <c r="C346" s="16" t="s">
        <v>306</v>
      </c>
      <c r="D346" s="4">
        <v>2.7745218023111112E-2</v>
      </c>
      <c r="E346" t="s">
        <v>458</v>
      </c>
      <c r="F346" s="4">
        <v>1.3872609011555556E-2</v>
      </c>
      <c r="G346" s="1">
        <f t="shared" si="8"/>
        <v>1.3872609011555556E-2</v>
      </c>
      <c r="I346" s="12" t="s">
        <v>86</v>
      </c>
    </row>
    <row r="347" spans="1:28" ht="15" customHeight="1" x14ac:dyDescent="0.3">
      <c r="B347" s="27" t="s">
        <v>16</v>
      </c>
      <c r="C347" s="16" t="s">
        <v>312</v>
      </c>
      <c r="D347" s="4">
        <v>4.4535814225775433E-2</v>
      </c>
      <c r="E347" t="s">
        <v>458</v>
      </c>
      <c r="F347" s="4">
        <v>2.2267907112887717E-2</v>
      </c>
      <c r="G347" s="1">
        <f t="shared" si="8"/>
        <v>2.2267907112887717E-2</v>
      </c>
      <c r="I347" s="12" t="s">
        <v>86</v>
      </c>
    </row>
    <row r="348" spans="1:28" x14ac:dyDescent="0.3">
      <c r="B348" s="27" t="s">
        <v>16</v>
      </c>
      <c r="C348" s="16" t="s">
        <v>326</v>
      </c>
      <c r="D348" s="4">
        <v>4.8013879876202772E-2</v>
      </c>
      <c r="E348" t="s">
        <v>458</v>
      </c>
      <c r="F348" s="4">
        <v>2.4006939938101386E-2</v>
      </c>
      <c r="G348" s="1">
        <f t="shared" si="8"/>
        <v>2.4006939938101386E-2</v>
      </c>
      <c r="I348" s="12" t="s">
        <v>86</v>
      </c>
    </row>
    <row r="349" spans="1:28" x14ac:dyDescent="0.3">
      <c r="B349" s="27" t="s">
        <v>16</v>
      </c>
      <c r="C349" s="16" t="s">
        <v>6</v>
      </c>
      <c r="D349" s="4">
        <v>0.16825647419005849</v>
      </c>
      <c r="E349" t="s">
        <v>458</v>
      </c>
      <c r="F349" s="4">
        <v>8.4128237095029243E-2</v>
      </c>
      <c r="G349" s="1">
        <f t="shared" si="8"/>
        <v>8.4128237095029243E-2</v>
      </c>
      <c r="I349" s="12" t="s">
        <v>86</v>
      </c>
    </row>
    <row r="350" spans="1:28" x14ac:dyDescent="0.3">
      <c r="B350" s="27" t="s">
        <v>16</v>
      </c>
      <c r="C350" s="16" t="s">
        <v>339</v>
      </c>
      <c r="D350" s="4">
        <v>6.9457523184210515E-2</v>
      </c>
      <c r="E350" t="s">
        <v>458</v>
      </c>
      <c r="F350" s="4">
        <v>3.4728761592105258E-2</v>
      </c>
      <c r="G350" s="1">
        <f t="shared" si="8"/>
        <v>3.4728761592105258E-2</v>
      </c>
      <c r="I350" s="12" t="s">
        <v>86</v>
      </c>
    </row>
    <row r="351" spans="1:28" x14ac:dyDescent="0.3">
      <c r="A351" s="13"/>
      <c r="B351" s="27" t="s">
        <v>16</v>
      </c>
      <c r="C351" t="s">
        <v>7</v>
      </c>
      <c r="D351" s="4">
        <f>[1]rapeseed!$E$157</f>
        <v>1.2771000000000001E-2</v>
      </c>
      <c r="E351" t="s">
        <v>458</v>
      </c>
      <c r="F351" s="4">
        <v>6.3855000000000006E-3</v>
      </c>
      <c r="G351" s="1">
        <f t="shared" si="8"/>
        <v>6.3855000000000006E-3</v>
      </c>
      <c r="I351" s="12" t="s">
        <v>86</v>
      </c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</row>
    <row r="352" spans="1:28" x14ac:dyDescent="0.3">
      <c r="A352" s="13"/>
      <c r="B352" s="27" t="s">
        <v>16</v>
      </c>
      <c r="C352" t="s">
        <v>354</v>
      </c>
      <c r="D352" s="4">
        <f>[1]rapeseed!$E$161</f>
        <v>3.6628147722222219E-2</v>
      </c>
      <c r="E352" t="s">
        <v>458</v>
      </c>
      <c r="F352" s="4">
        <v>1.831407386111111E-2</v>
      </c>
      <c r="G352" s="1">
        <f t="shared" si="8"/>
        <v>1.831407386111111E-2</v>
      </c>
      <c r="I352" s="12" t="s">
        <v>86</v>
      </c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</row>
    <row r="353" spans="2:12" x14ac:dyDescent="0.3">
      <c r="B353" s="28" t="s">
        <v>17</v>
      </c>
      <c r="C353" s="8" t="s">
        <v>5</v>
      </c>
      <c r="D353" s="4" t="s">
        <v>575</v>
      </c>
      <c r="E353" t="s">
        <v>576</v>
      </c>
      <c r="F353" s="4">
        <v>0.23043319509523863</v>
      </c>
      <c r="G353" s="1">
        <f>AVERAGE(F353,F355:F357)</f>
        <v>0.24195604807903462</v>
      </c>
      <c r="H353">
        <f>_xlfn.STDEV.P(F353:F356)</f>
        <v>0.10296841822014131</v>
      </c>
      <c r="I353" t="s">
        <v>577</v>
      </c>
    </row>
    <row r="354" spans="2:12" ht="15" customHeight="1" x14ac:dyDescent="0.3">
      <c r="B354" s="28" t="s">
        <v>17</v>
      </c>
      <c r="C354" s="8" t="s">
        <v>33</v>
      </c>
      <c r="D354" s="4" t="s">
        <v>578</v>
      </c>
      <c r="E354" t="s">
        <v>579</v>
      </c>
      <c r="F354" s="4">
        <v>2.6172953228188318E-2</v>
      </c>
      <c r="I354" t="s">
        <v>580</v>
      </c>
    </row>
    <row r="355" spans="2:12" x14ac:dyDescent="0.3">
      <c r="B355" s="28" t="s">
        <v>17</v>
      </c>
      <c r="C355" s="8" t="s">
        <v>33</v>
      </c>
      <c r="D355" s="4" t="s">
        <v>581</v>
      </c>
      <c r="E355" t="s">
        <v>582</v>
      </c>
      <c r="F355" s="4">
        <v>0.25544529627961587</v>
      </c>
      <c r="I355" t="s">
        <v>583</v>
      </c>
      <c r="J355" t="s">
        <v>584</v>
      </c>
      <c r="K355" t="s">
        <v>585</v>
      </c>
    </row>
    <row r="356" spans="2:12" x14ac:dyDescent="0.3">
      <c r="B356" s="28" t="s">
        <v>17</v>
      </c>
      <c r="C356" s="8" t="s">
        <v>33</v>
      </c>
      <c r="D356" s="4" t="s">
        <v>586</v>
      </c>
      <c r="E356" t="s">
        <v>587</v>
      </c>
      <c r="F356" s="4">
        <v>0.29052868294036949</v>
      </c>
      <c r="I356" t="s">
        <v>588</v>
      </c>
      <c r="J356" t="s">
        <v>589</v>
      </c>
      <c r="K356" t="s">
        <v>590</v>
      </c>
      <c r="L356" t="s">
        <v>532</v>
      </c>
    </row>
    <row r="357" spans="2:12" x14ac:dyDescent="0.3">
      <c r="B357" s="28" t="s">
        <v>17</v>
      </c>
      <c r="C357" s="8"/>
      <c r="D357" s="4" t="s">
        <v>591</v>
      </c>
      <c r="E357" t="s">
        <v>592</v>
      </c>
      <c r="F357" s="4">
        <v>0.19141701800091446</v>
      </c>
      <c r="I357" t="s">
        <v>593</v>
      </c>
      <c r="J357" t="s">
        <v>594</v>
      </c>
      <c r="K357" t="s">
        <v>595</v>
      </c>
    </row>
    <row r="358" spans="2:12" x14ac:dyDescent="0.3">
      <c r="B358" s="28" t="s">
        <v>17</v>
      </c>
      <c r="C358" s="8" t="s">
        <v>44</v>
      </c>
      <c r="D358" s="4">
        <f>[1]corn!$E$554</f>
        <v>8.6983620370370357E-2</v>
      </c>
      <c r="E358" t="s">
        <v>458</v>
      </c>
      <c r="F358" s="4">
        <v>4.3491810185185178E-2</v>
      </c>
      <c r="G358" s="1">
        <f>F358</f>
        <v>4.3491810185185178E-2</v>
      </c>
      <c r="I358" s="12" t="s">
        <v>86</v>
      </c>
      <c r="J358" t="s">
        <v>596</v>
      </c>
      <c r="K358" t="s">
        <v>597</v>
      </c>
    </row>
    <row r="359" spans="2:12" x14ac:dyDescent="0.3">
      <c r="B359" s="28" t="s">
        <v>17</v>
      </c>
      <c r="C359" s="8" t="s">
        <v>49</v>
      </c>
      <c r="D359" s="4">
        <f>[1]corn!$E$557</f>
        <v>0.28268952962962962</v>
      </c>
      <c r="E359" t="s">
        <v>458</v>
      </c>
      <c r="F359" s="4">
        <v>0.14134476481481481</v>
      </c>
      <c r="G359" s="1">
        <f>F359</f>
        <v>0.14134476481481481</v>
      </c>
      <c r="I359" s="12" t="s">
        <v>86</v>
      </c>
      <c r="J359" t="s">
        <v>598</v>
      </c>
    </row>
    <row r="360" spans="2:12" x14ac:dyDescent="0.3">
      <c r="B360" s="28" t="s">
        <v>17</v>
      </c>
      <c r="C360" s="8" t="s">
        <v>53</v>
      </c>
      <c r="D360" s="4">
        <v>19.899999999999999</v>
      </c>
      <c r="E360" t="s">
        <v>599</v>
      </c>
      <c r="F360" s="4">
        <v>0.19899999999999998</v>
      </c>
      <c r="G360" s="1">
        <f>AVERAGE(F360:F361)</f>
        <v>0.20216666666666666</v>
      </c>
      <c r="H360">
        <f>_xlfn.STDEV.P(F360:F361)</f>
        <v>3.1666666666666787E-3</v>
      </c>
      <c r="I360" t="s">
        <v>600</v>
      </c>
    </row>
    <row r="361" spans="2:12" x14ac:dyDescent="0.3">
      <c r="B361" s="28" t="s">
        <v>17</v>
      </c>
      <c r="C361" s="8" t="s">
        <v>33</v>
      </c>
      <c r="D361" s="4" t="s">
        <v>601</v>
      </c>
      <c r="E361" s="4" t="s">
        <v>602</v>
      </c>
      <c r="F361" s="4">
        <v>0.20533333333333334</v>
      </c>
      <c r="I361" t="s">
        <v>603</v>
      </c>
    </row>
    <row r="362" spans="2:12" x14ac:dyDescent="0.3">
      <c r="B362" s="28" t="s">
        <v>17</v>
      </c>
      <c r="C362" t="s">
        <v>67</v>
      </c>
      <c r="D362" s="4">
        <f>[1]Wheat!$E$545</f>
        <v>0.18150485629629631</v>
      </c>
      <c r="E362" t="s">
        <v>458</v>
      </c>
      <c r="F362" s="4">
        <v>9.0752428148148157E-2</v>
      </c>
      <c r="G362" s="1">
        <f t="shared" ref="G362:G367" si="9">F362</f>
        <v>9.0752428148148157E-2</v>
      </c>
      <c r="I362" s="12" t="s">
        <v>86</v>
      </c>
      <c r="J362" t="s">
        <v>604</v>
      </c>
    </row>
    <row r="363" spans="2:12" x14ac:dyDescent="0.3">
      <c r="B363" s="28" t="s">
        <v>17</v>
      </c>
      <c r="C363" t="s">
        <v>84</v>
      </c>
      <c r="D363" s="4">
        <f>[1]Wheat!$E$549</f>
        <v>0.21779193333333333</v>
      </c>
      <c r="E363" t="s">
        <v>458</v>
      </c>
      <c r="F363" s="4">
        <v>0.10889596666666666</v>
      </c>
      <c r="G363" s="1">
        <f t="shared" si="9"/>
        <v>0.10889596666666666</v>
      </c>
      <c r="I363" s="12" t="s">
        <v>86</v>
      </c>
      <c r="J363" t="s">
        <v>605</v>
      </c>
    </row>
    <row r="364" spans="2:12" x14ac:dyDescent="0.3">
      <c r="B364" s="28" t="s">
        <v>17</v>
      </c>
      <c r="C364" s="8" t="s">
        <v>3</v>
      </c>
      <c r="D364" s="4">
        <v>8.3314144093567272E-2</v>
      </c>
      <c r="E364" t="s">
        <v>458</v>
      </c>
      <c r="F364" s="4">
        <v>4.1657072046783636E-2</v>
      </c>
      <c r="G364" s="1">
        <f t="shared" si="9"/>
        <v>4.1657072046783636E-2</v>
      </c>
      <c r="I364" s="12" t="s">
        <v>86</v>
      </c>
    </row>
    <row r="365" spans="2:12" x14ac:dyDescent="0.3">
      <c r="B365" s="28" t="s">
        <v>17</v>
      </c>
      <c r="C365" s="8" t="s">
        <v>8</v>
      </c>
      <c r="D365" s="4">
        <f>[1]Tomato!$E$86</f>
        <v>1.6584784850612086E-2</v>
      </c>
      <c r="E365" t="s">
        <v>458</v>
      </c>
      <c r="F365" s="4">
        <v>8.292392425306043E-3</v>
      </c>
      <c r="G365" s="1">
        <f t="shared" si="9"/>
        <v>8.292392425306043E-3</v>
      </c>
      <c r="I365" s="12" t="s">
        <v>86</v>
      </c>
    </row>
    <row r="366" spans="2:12" x14ac:dyDescent="0.3">
      <c r="B366" s="28" t="s">
        <v>17</v>
      </c>
      <c r="C366" s="8" t="s">
        <v>101</v>
      </c>
      <c r="D366" s="4">
        <f>[1]Tomato!$E$90</f>
        <v>4.1027033055555558E-2</v>
      </c>
      <c r="E366" t="s">
        <v>458</v>
      </c>
      <c r="F366" s="4">
        <v>2.0513516527777779E-2</v>
      </c>
      <c r="G366" s="1">
        <f t="shared" si="9"/>
        <v>2.0513516527777779E-2</v>
      </c>
      <c r="I366" s="12" t="s">
        <v>86</v>
      </c>
    </row>
    <row r="367" spans="2:12" x14ac:dyDescent="0.3">
      <c r="B367" s="28" t="s">
        <v>17</v>
      </c>
      <c r="C367" s="8" t="s">
        <v>105</v>
      </c>
      <c r="D367" s="4">
        <f>[1]Sugarcane!$E$585</f>
        <v>0.14124613533769981</v>
      </c>
      <c r="E367" t="s">
        <v>458</v>
      </c>
      <c r="F367" s="4">
        <v>7.0623067668849904E-2</v>
      </c>
      <c r="G367" s="1">
        <f t="shared" si="9"/>
        <v>7.0623067668849904E-2</v>
      </c>
      <c r="I367" s="12" t="s">
        <v>86</v>
      </c>
    </row>
    <row r="368" spans="2:12" x14ac:dyDescent="0.3">
      <c r="B368" s="28" t="s">
        <v>17</v>
      </c>
      <c r="C368" s="8" t="s">
        <v>119</v>
      </c>
      <c r="D368" s="4">
        <v>19.399999999999999</v>
      </c>
      <c r="E368" t="s">
        <v>606</v>
      </c>
      <c r="F368" s="4">
        <v>0.19399999999999998</v>
      </c>
      <c r="G368" s="1">
        <f>AVERAGE(F368:F372)</f>
        <v>0.23814440795782277</v>
      </c>
      <c r="H368">
        <f>_xlfn.STDEV.P(F368:F372)</f>
        <v>7.2035922511637068E-2</v>
      </c>
      <c r="I368" t="s">
        <v>607</v>
      </c>
    </row>
    <row r="369" spans="2:11" x14ac:dyDescent="0.3">
      <c r="B369" s="28" t="s">
        <v>17</v>
      </c>
      <c r="C369" s="8" t="s">
        <v>33</v>
      </c>
      <c r="D369" s="4">
        <v>36.5</v>
      </c>
      <c r="E369" t="s">
        <v>606</v>
      </c>
      <c r="F369" s="4">
        <v>0.36499999999999999</v>
      </c>
      <c r="I369" t="s">
        <v>608</v>
      </c>
      <c r="J369" t="s">
        <v>609</v>
      </c>
    </row>
    <row r="370" spans="2:11" x14ac:dyDescent="0.3">
      <c r="B370" s="28" t="s">
        <v>17</v>
      </c>
      <c r="C370" s="8" t="s">
        <v>33</v>
      </c>
      <c r="D370" s="4">
        <v>54.6</v>
      </c>
      <c r="E370" t="s">
        <v>610</v>
      </c>
      <c r="F370" s="4">
        <v>0.15102341981999998</v>
      </c>
      <c r="I370" t="s">
        <v>611</v>
      </c>
      <c r="J370" t="s">
        <v>612</v>
      </c>
      <c r="K370" t="s">
        <v>613</v>
      </c>
    </row>
    <row r="371" spans="2:11" x14ac:dyDescent="0.3">
      <c r="B371" s="28" t="s">
        <v>17</v>
      </c>
      <c r="C371" s="8" t="s">
        <v>33</v>
      </c>
      <c r="D371" s="4">
        <v>22.8</v>
      </c>
      <c r="E371" t="s">
        <v>606</v>
      </c>
      <c r="F371" s="4">
        <v>0.22800000000000001</v>
      </c>
      <c r="I371" t="s">
        <v>614</v>
      </c>
      <c r="J371" t="s">
        <v>615</v>
      </c>
    </row>
    <row r="372" spans="2:11" x14ac:dyDescent="0.3">
      <c r="B372" s="28" t="s">
        <v>17</v>
      </c>
      <c r="C372" s="8" t="s">
        <v>33</v>
      </c>
      <c r="D372" s="4">
        <v>60.5</v>
      </c>
      <c r="E372" t="s">
        <v>616</v>
      </c>
      <c r="F372" s="4">
        <v>0.25269861996911386</v>
      </c>
      <c r="I372" t="s">
        <v>617</v>
      </c>
      <c r="J372" t="s">
        <v>618</v>
      </c>
      <c r="K372" t="s">
        <v>619</v>
      </c>
    </row>
    <row r="373" spans="2:11" x14ac:dyDescent="0.3">
      <c r="B373" s="28" t="s">
        <v>17</v>
      </c>
      <c r="C373" s="8" t="s">
        <v>133</v>
      </c>
      <c r="D373" s="4" t="s">
        <v>620</v>
      </c>
      <c r="E373" t="s">
        <v>621</v>
      </c>
      <c r="F373" s="4">
        <v>0.27925</v>
      </c>
      <c r="G373" s="1">
        <f>AVERAGE(F373:F373)</f>
        <v>0.27925</v>
      </c>
      <c r="H373">
        <f>_xlfn.STDEV.P(F373:F373)</f>
        <v>0</v>
      </c>
      <c r="I373" t="s">
        <v>622</v>
      </c>
    </row>
    <row r="374" spans="2:11" x14ac:dyDescent="0.3">
      <c r="B374" s="28" t="s">
        <v>17</v>
      </c>
      <c r="C374" t="s">
        <v>4</v>
      </c>
      <c r="D374">
        <f>'[1]Sugar Beet'!$E$431</f>
        <v>9.1475861236994152E-2</v>
      </c>
      <c r="E374" t="s">
        <v>458</v>
      </c>
      <c r="F374" s="4">
        <v>4.5737930618497076E-2</v>
      </c>
      <c r="G374" s="1">
        <f t="shared" ref="G374:G375" si="10">F374</f>
        <v>4.5737930618497076E-2</v>
      </c>
      <c r="I374" s="12" t="s">
        <v>86</v>
      </c>
      <c r="J374" t="s">
        <v>623</v>
      </c>
    </row>
    <row r="375" spans="2:11" x14ac:dyDescent="0.3">
      <c r="B375" s="28" t="s">
        <v>17</v>
      </c>
      <c r="C375" t="s">
        <v>165</v>
      </c>
      <c r="D375">
        <f>'[1]Sugar Beet'!$E$436</f>
        <v>0.23001827350355203</v>
      </c>
      <c r="E375" t="s">
        <v>458</v>
      </c>
      <c r="F375" s="4">
        <v>0.11500913675177601</v>
      </c>
      <c r="G375" s="1">
        <f t="shared" si="10"/>
        <v>0.11500913675177601</v>
      </c>
      <c r="I375" s="12" t="s">
        <v>86</v>
      </c>
      <c r="J375" s="9" t="s">
        <v>624</v>
      </c>
    </row>
    <row r="376" spans="2:11" x14ac:dyDescent="0.3">
      <c r="B376" s="28" t="s">
        <v>17</v>
      </c>
      <c r="C376" s="8" t="s">
        <v>181</v>
      </c>
      <c r="D376" s="4" t="s">
        <v>625</v>
      </c>
      <c r="E376" t="s">
        <v>626</v>
      </c>
      <c r="F376" s="4">
        <v>2.2140075692982451E-2</v>
      </c>
      <c r="G376" s="1">
        <f>F376</f>
        <v>2.2140075692982451E-2</v>
      </c>
      <c r="H376">
        <v>0</v>
      </c>
      <c r="I376" t="s">
        <v>627</v>
      </c>
    </row>
    <row r="377" spans="2:11" x14ac:dyDescent="0.3">
      <c r="B377" s="28" t="s">
        <v>17</v>
      </c>
      <c r="C377" s="8" t="s">
        <v>198</v>
      </c>
      <c r="D377" s="4">
        <v>0.43072088888888888</v>
      </c>
      <c r="E377" t="s">
        <v>458</v>
      </c>
      <c r="F377" s="4">
        <v>0.21536044444444444</v>
      </c>
      <c r="G377" s="1">
        <f>F377</f>
        <v>0.21536044444444444</v>
      </c>
      <c r="I377" s="12" t="s">
        <v>86</v>
      </c>
    </row>
    <row r="378" spans="2:11" x14ac:dyDescent="0.3">
      <c r="B378" s="28" t="s">
        <v>17</v>
      </c>
      <c r="C378" s="8" t="s">
        <v>209</v>
      </c>
      <c r="D378" s="4">
        <v>0.11799999999999999</v>
      </c>
      <c r="E378" t="s">
        <v>628</v>
      </c>
      <c r="F378" s="4">
        <v>0.10561</v>
      </c>
      <c r="G378" s="1">
        <f>AVERAGE(F378:F381)</f>
        <v>0.10671759463944629</v>
      </c>
      <c r="I378" t="s">
        <v>629</v>
      </c>
      <c r="J378" t="s">
        <v>630</v>
      </c>
    </row>
    <row r="379" spans="2:11" x14ac:dyDescent="0.3">
      <c r="B379" s="28" t="s">
        <v>17</v>
      </c>
      <c r="C379" s="8" t="s">
        <v>33</v>
      </c>
      <c r="D379" s="4" t="s">
        <v>631</v>
      </c>
      <c r="E379" t="s">
        <v>632</v>
      </c>
      <c r="F379" s="4">
        <v>5.7476762186666662E-2</v>
      </c>
      <c r="I379" t="s">
        <v>633</v>
      </c>
    </row>
    <row r="380" spans="2:11" x14ac:dyDescent="0.3">
      <c r="B380" s="28" t="s">
        <v>17</v>
      </c>
      <c r="C380" s="6" t="s">
        <v>33</v>
      </c>
      <c r="D380" s="4" t="s">
        <v>634</v>
      </c>
      <c r="E380" t="s">
        <v>635</v>
      </c>
      <c r="F380" s="4">
        <v>0.14636222371220348</v>
      </c>
      <c r="I380" t="s">
        <v>636</v>
      </c>
    </row>
    <row r="381" spans="2:11" x14ac:dyDescent="0.3">
      <c r="B381" s="28" t="s">
        <v>17</v>
      </c>
      <c r="C381" s="8" t="s">
        <v>33</v>
      </c>
      <c r="D381" s="4" t="s">
        <v>637</v>
      </c>
      <c r="E381" t="s">
        <v>638</v>
      </c>
      <c r="F381" s="4">
        <v>0.11742139265891498</v>
      </c>
      <c r="I381" t="s">
        <v>623</v>
      </c>
    </row>
    <row r="382" spans="2:11" x14ac:dyDescent="0.3">
      <c r="B382" s="28" t="s">
        <v>17</v>
      </c>
      <c r="C382" s="16" t="s">
        <v>221</v>
      </c>
      <c r="D382" s="4">
        <v>0.10324901958791424</v>
      </c>
      <c r="E382" t="s">
        <v>458</v>
      </c>
      <c r="F382" s="4">
        <v>5.1624509793957121E-2</v>
      </c>
      <c r="G382" s="1">
        <f>F382</f>
        <v>5.1624509793957121E-2</v>
      </c>
      <c r="I382" s="12" t="s">
        <v>86</v>
      </c>
    </row>
    <row r="383" spans="2:11" x14ac:dyDescent="0.3">
      <c r="B383" s="28" t="s">
        <v>17</v>
      </c>
      <c r="C383" s="16" t="s">
        <v>9</v>
      </c>
      <c r="D383" s="4">
        <v>7.2652275008853809E-2</v>
      </c>
      <c r="E383" t="s">
        <v>458</v>
      </c>
      <c r="F383" s="4">
        <v>3.6326137504426904E-2</v>
      </c>
      <c r="G383" s="1">
        <f>F383</f>
        <v>3.6326137504426904E-2</v>
      </c>
      <c r="I383" s="12" t="s">
        <v>86</v>
      </c>
    </row>
    <row r="384" spans="2:11" ht="15" customHeight="1" x14ac:dyDescent="0.3">
      <c r="B384" s="28" t="s">
        <v>17</v>
      </c>
      <c r="C384" s="16" t="s">
        <v>246</v>
      </c>
      <c r="D384" s="4">
        <v>0.29771844666666669</v>
      </c>
      <c r="E384" t="s">
        <v>458</v>
      </c>
      <c r="F384" s="4">
        <v>0.14885922333333335</v>
      </c>
      <c r="G384" s="1">
        <f>F384</f>
        <v>0.14885922333333335</v>
      </c>
      <c r="I384" s="12" t="s">
        <v>86</v>
      </c>
    </row>
    <row r="385" spans="1:28" x14ac:dyDescent="0.3">
      <c r="B385" s="28" t="s">
        <v>17</v>
      </c>
      <c r="C385" s="16" t="s">
        <v>257</v>
      </c>
      <c r="D385" s="4">
        <v>4.5801572280701766E-2</v>
      </c>
      <c r="E385" t="s">
        <v>458</v>
      </c>
      <c r="F385" s="4">
        <v>2.2900786140350883E-2</v>
      </c>
      <c r="G385" s="1">
        <f>F385</f>
        <v>2.2900786140350883E-2</v>
      </c>
      <c r="I385" s="12" t="s">
        <v>86</v>
      </c>
    </row>
    <row r="386" spans="1:28" x14ac:dyDescent="0.3">
      <c r="B386" s="28" t="s">
        <v>17</v>
      </c>
      <c r="C386" s="16" t="s">
        <v>272</v>
      </c>
      <c r="D386" s="4">
        <v>46.93</v>
      </c>
      <c r="E386" t="s">
        <v>639</v>
      </c>
      <c r="F386" s="4">
        <v>4.6939999999999996E-2</v>
      </c>
      <c r="G386" s="1">
        <f>AVERAGE(F386:F387)</f>
        <v>3.8212467999999999E-2</v>
      </c>
      <c r="I386" s="12" t="s">
        <v>640</v>
      </c>
    </row>
    <row r="387" spans="1:28" x14ac:dyDescent="0.3">
      <c r="B387" s="28" t="s">
        <v>17</v>
      </c>
      <c r="C387" s="16" t="s">
        <v>33</v>
      </c>
      <c r="D387" s="4">
        <v>86.7</v>
      </c>
      <c r="E387" t="s">
        <v>641</v>
      </c>
      <c r="F387" s="4">
        <v>2.9484935999999996E-2</v>
      </c>
      <c r="I387" s="12" t="s">
        <v>642</v>
      </c>
    </row>
    <row r="388" spans="1:28" x14ac:dyDescent="0.3">
      <c r="B388" s="28" t="s">
        <v>17</v>
      </c>
      <c r="C388" s="16" t="s">
        <v>280</v>
      </c>
      <c r="D388" s="4">
        <v>8.5295898947368443E-2</v>
      </c>
      <c r="E388" t="s">
        <v>458</v>
      </c>
      <c r="F388" s="4">
        <v>4.2647949473684221E-2</v>
      </c>
      <c r="G388" s="1">
        <f>F388</f>
        <v>4.2647949473684221E-2</v>
      </c>
      <c r="I388" s="12" t="s">
        <v>86</v>
      </c>
    </row>
    <row r="389" spans="1:28" x14ac:dyDescent="0.3">
      <c r="B389" s="28" t="s">
        <v>17</v>
      </c>
      <c r="C389" s="16" t="s">
        <v>293</v>
      </c>
      <c r="D389" s="4">
        <v>0.13285771074074074</v>
      </c>
      <c r="E389" t="s">
        <v>458</v>
      </c>
      <c r="F389" s="4">
        <v>6.6428855370370368E-2</v>
      </c>
      <c r="G389" s="1">
        <f>F389</f>
        <v>6.6428855370370368E-2</v>
      </c>
      <c r="I389" s="12" t="s">
        <v>86</v>
      </c>
    </row>
    <row r="390" spans="1:28" x14ac:dyDescent="0.3">
      <c r="B390" s="28" t="s">
        <v>17</v>
      </c>
      <c r="C390" s="16" t="s">
        <v>306</v>
      </c>
      <c r="D390" s="4">
        <v>6.1125511334637041E-2</v>
      </c>
      <c r="E390" t="s">
        <v>458</v>
      </c>
      <c r="F390" s="4">
        <v>3.056275566731852E-2</v>
      </c>
      <c r="G390" s="1">
        <f>F390</f>
        <v>3.056275566731852E-2</v>
      </c>
      <c r="I390" s="12" t="s">
        <v>86</v>
      </c>
    </row>
    <row r="391" spans="1:28" ht="15" customHeight="1" x14ac:dyDescent="0.3">
      <c r="B391" s="28" t="s">
        <v>17</v>
      </c>
      <c r="C391" s="16" t="s">
        <v>312</v>
      </c>
      <c r="D391" s="4">
        <v>0.11135387579206128</v>
      </c>
      <c r="E391" t="s">
        <v>458</v>
      </c>
      <c r="F391" s="4">
        <v>5.5676937896030641E-2</v>
      </c>
      <c r="G391" s="1">
        <f>F391</f>
        <v>5.5676937896030641E-2</v>
      </c>
      <c r="I391" s="12" t="s">
        <v>86</v>
      </c>
    </row>
    <row r="392" spans="1:28" x14ac:dyDescent="0.3">
      <c r="B392" s="28" t="s">
        <v>17</v>
      </c>
      <c r="C392" s="16" t="s">
        <v>326</v>
      </c>
      <c r="D392" s="4">
        <v>0.10577941597532427</v>
      </c>
      <c r="E392" t="s">
        <v>458</v>
      </c>
      <c r="F392" s="4">
        <v>5.2889707987662134E-2</v>
      </c>
      <c r="G392" s="1">
        <f>F392</f>
        <v>5.2889707987662134E-2</v>
      </c>
      <c r="I392" s="12" t="s">
        <v>86</v>
      </c>
    </row>
    <row r="393" spans="1:28" x14ac:dyDescent="0.3">
      <c r="B393" s="28" t="s">
        <v>17</v>
      </c>
      <c r="C393" s="16" t="s">
        <v>6</v>
      </c>
      <c r="D393" s="4">
        <v>0.37353519836861598</v>
      </c>
      <c r="E393" t="s">
        <v>458</v>
      </c>
      <c r="F393" s="4">
        <v>0.18676759918430799</v>
      </c>
      <c r="G393" s="1">
        <f t="shared" ref="G393:G396" si="11">F393</f>
        <v>0.18676759918430799</v>
      </c>
      <c r="I393" s="12" t="s">
        <v>86</v>
      </c>
    </row>
    <row r="394" spans="1:28" x14ac:dyDescent="0.3">
      <c r="B394" s="28" t="s">
        <v>17</v>
      </c>
      <c r="C394" s="16" t="s">
        <v>339</v>
      </c>
      <c r="D394" s="4">
        <v>0.15517187124035087</v>
      </c>
      <c r="E394" t="s">
        <v>458</v>
      </c>
      <c r="F394" s="4">
        <v>7.7585935620175434E-2</v>
      </c>
      <c r="G394" s="1">
        <f t="shared" si="11"/>
        <v>7.7585935620175434E-2</v>
      </c>
      <c r="I394" s="12" t="s">
        <v>86</v>
      </c>
    </row>
    <row r="395" spans="1:28" x14ac:dyDescent="0.3">
      <c r="A395" s="13"/>
      <c r="B395" s="28" t="s">
        <v>17</v>
      </c>
      <c r="C395" t="s">
        <v>7</v>
      </c>
      <c r="D395" s="4">
        <f>[1]rapeseed!$E$169</f>
        <v>2.8135800000000002E-2</v>
      </c>
      <c r="E395" t="s">
        <v>458</v>
      </c>
      <c r="F395" s="4">
        <v>1.4067900000000001E-2</v>
      </c>
      <c r="G395" s="1">
        <f t="shared" si="11"/>
        <v>1.4067900000000001E-2</v>
      </c>
      <c r="I395" s="12" t="s">
        <v>86</v>
      </c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</row>
    <row r="396" spans="1:28" x14ac:dyDescent="0.3">
      <c r="A396" s="13"/>
      <c r="B396" s="28" t="s">
        <v>17</v>
      </c>
      <c r="C396" t="s">
        <v>354</v>
      </c>
      <c r="D396" s="4">
        <f>[1]rapeseed!$E$173</f>
        <v>8.0695500640740742E-2</v>
      </c>
      <c r="E396" t="s">
        <v>458</v>
      </c>
      <c r="F396" s="4">
        <v>4.0347750320370371E-2</v>
      </c>
      <c r="G396" s="1">
        <f t="shared" si="11"/>
        <v>4.0347750320370371E-2</v>
      </c>
      <c r="I396" s="12" t="s">
        <v>86</v>
      </c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</row>
    <row r="397" spans="1:28" x14ac:dyDescent="0.3">
      <c r="B397" s="29" t="s">
        <v>18</v>
      </c>
      <c r="C397" s="8" t="s">
        <v>5</v>
      </c>
      <c r="D397" s="4" t="s">
        <v>643</v>
      </c>
      <c r="E397" t="s">
        <v>644</v>
      </c>
      <c r="F397" s="4">
        <v>0.60499999999999998</v>
      </c>
      <c r="G397" s="1">
        <f>AVERAGE(F397:F400)</f>
        <v>0.64413095238095242</v>
      </c>
      <c r="H397">
        <f>_xlfn.STDEV.P(F397:F399)</f>
        <v>1.6007194779425787E-2</v>
      </c>
      <c r="I397" t="s">
        <v>645</v>
      </c>
    </row>
    <row r="398" spans="1:28" ht="15" customHeight="1" x14ac:dyDescent="0.3">
      <c r="B398" s="29" t="s">
        <v>18</v>
      </c>
      <c r="C398" s="8" t="s">
        <v>33</v>
      </c>
      <c r="D398" s="4" t="s">
        <v>646</v>
      </c>
      <c r="E398" t="s">
        <v>647</v>
      </c>
      <c r="F398" s="4">
        <v>0.6408571428571429</v>
      </c>
      <c r="I398" t="s">
        <v>648</v>
      </c>
    </row>
    <row r="399" spans="1:28" x14ac:dyDescent="0.3">
      <c r="B399" s="29" t="s">
        <v>18</v>
      </c>
      <c r="C399" s="8" t="s">
        <v>33</v>
      </c>
      <c r="D399" s="4" t="s">
        <v>649</v>
      </c>
      <c r="E399" t="s">
        <v>650</v>
      </c>
      <c r="F399" s="4">
        <v>0.63666666666666671</v>
      </c>
      <c r="I399" t="s">
        <v>648</v>
      </c>
      <c r="J399" t="s">
        <v>651</v>
      </c>
    </row>
    <row r="400" spans="1:28" x14ac:dyDescent="0.3">
      <c r="B400" s="29" t="s">
        <v>18</v>
      </c>
      <c r="C400" s="8"/>
      <c r="D400" s="4">
        <v>694</v>
      </c>
      <c r="E400" t="s">
        <v>652</v>
      </c>
      <c r="F400" s="4">
        <v>0.69399999999999995</v>
      </c>
      <c r="I400" t="s">
        <v>645</v>
      </c>
      <c r="J400" t="s">
        <v>653</v>
      </c>
      <c r="K400" t="s">
        <v>654</v>
      </c>
    </row>
    <row r="401" spans="2:11" x14ac:dyDescent="0.3">
      <c r="B401" s="29" t="s">
        <v>18</v>
      </c>
      <c r="C401" t="s">
        <v>44</v>
      </c>
      <c r="D401" s="4">
        <v>0.12687777777777776</v>
      </c>
      <c r="E401" t="s">
        <v>458</v>
      </c>
      <c r="F401" s="4">
        <v>6.3438888888888878E-2</v>
      </c>
      <c r="G401" s="1">
        <f>F401</f>
        <v>6.3438888888888878E-2</v>
      </c>
      <c r="I401" s="12" t="s">
        <v>86</v>
      </c>
      <c r="J401" t="s">
        <v>655</v>
      </c>
      <c r="K401" t="s">
        <v>654</v>
      </c>
    </row>
    <row r="402" spans="2:11" x14ac:dyDescent="0.3">
      <c r="B402" s="29" t="s">
        <v>18</v>
      </c>
      <c r="C402" t="s">
        <v>49</v>
      </c>
      <c r="D402" s="4">
        <v>0.53014222222222229</v>
      </c>
      <c r="E402" t="s">
        <v>458</v>
      </c>
      <c r="F402" s="4">
        <v>0.26507111111111115</v>
      </c>
      <c r="G402" s="1">
        <f>F402</f>
        <v>0.26507111111111115</v>
      </c>
      <c r="I402" s="12" t="s">
        <v>86</v>
      </c>
      <c r="J402" t="s">
        <v>651</v>
      </c>
    </row>
    <row r="403" spans="2:11" x14ac:dyDescent="0.3">
      <c r="B403" s="29" t="s">
        <v>18</v>
      </c>
      <c r="C403" s="8" t="s">
        <v>53</v>
      </c>
      <c r="D403" s="4" t="s">
        <v>656</v>
      </c>
      <c r="E403" t="s">
        <v>657</v>
      </c>
      <c r="F403" s="4">
        <v>0.5307779924242424</v>
      </c>
      <c r="G403" s="1">
        <f>AVERAGE(F403:F406)</f>
        <v>0.46233619117153679</v>
      </c>
      <c r="H403">
        <f>_xlfn.STDEV.P(F403:F406)</f>
        <v>0.11574599973343246</v>
      </c>
      <c r="I403" t="s">
        <v>658</v>
      </c>
    </row>
    <row r="404" spans="2:11" x14ac:dyDescent="0.3">
      <c r="B404" s="29" t="s">
        <v>18</v>
      </c>
      <c r="C404" s="8" t="s">
        <v>33</v>
      </c>
      <c r="D404" s="4" t="s">
        <v>659</v>
      </c>
      <c r="E404" t="s">
        <v>660</v>
      </c>
      <c r="F404" s="4">
        <v>0.26187366666666667</v>
      </c>
      <c r="I404" t="s">
        <v>661</v>
      </c>
    </row>
    <row r="405" spans="2:11" x14ac:dyDescent="0.3">
      <c r="B405" s="29" t="s">
        <v>18</v>
      </c>
      <c r="C405" s="8" t="s">
        <v>33</v>
      </c>
      <c r="D405" s="4" t="s">
        <v>662</v>
      </c>
      <c r="E405" t="s">
        <v>79</v>
      </c>
      <c r="F405" s="4">
        <v>0.52687920083333328</v>
      </c>
      <c r="I405" t="s">
        <v>663</v>
      </c>
      <c r="K405" t="s">
        <v>664</v>
      </c>
    </row>
    <row r="406" spans="2:11" x14ac:dyDescent="0.3">
      <c r="B406" s="29" t="s">
        <v>18</v>
      </c>
      <c r="C406" s="8" t="s">
        <v>33</v>
      </c>
      <c r="D406" s="4" t="s">
        <v>665</v>
      </c>
      <c r="E406" t="s">
        <v>666</v>
      </c>
      <c r="F406" s="4">
        <v>0.52981390476190471</v>
      </c>
      <c r="I406" t="s">
        <v>667</v>
      </c>
    </row>
    <row r="407" spans="2:11" x14ac:dyDescent="0.3">
      <c r="B407" s="29" t="s">
        <v>18</v>
      </c>
      <c r="C407" s="8" t="s">
        <v>67</v>
      </c>
      <c r="D407" s="4">
        <v>0.18</v>
      </c>
      <c r="E407" t="s">
        <v>668</v>
      </c>
      <c r="F407" s="4">
        <v>0.18</v>
      </c>
      <c r="G407" s="1">
        <f>AVERAGE(F407:F411)</f>
        <v>0.30278429629629627</v>
      </c>
      <c r="H407">
        <f>_xlfn.STDEV.P(F407:F410)</f>
        <v>0.10225117498394193</v>
      </c>
      <c r="I407" t="s">
        <v>669</v>
      </c>
      <c r="J407" t="s">
        <v>670</v>
      </c>
    </row>
    <row r="408" spans="2:11" x14ac:dyDescent="0.3">
      <c r="B408" s="29" t="s">
        <v>18</v>
      </c>
      <c r="C408" s="8" t="s">
        <v>33</v>
      </c>
      <c r="D408" s="4" t="s">
        <v>671</v>
      </c>
      <c r="E408" t="s">
        <v>672</v>
      </c>
      <c r="F408" s="4">
        <v>0.3019081481481482</v>
      </c>
      <c r="I408" t="s">
        <v>673</v>
      </c>
      <c r="J408" t="s">
        <v>674</v>
      </c>
    </row>
    <row r="409" spans="2:11" x14ac:dyDescent="0.3">
      <c r="B409" s="29" t="s">
        <v>18</v>
      </c>
      <c r="C409" s="8" t="s">
        <v>33</v>
      </c>
      <c r="D409" s="4">
        <v>36</v>
      </c>
      <c r="E409" t="s">
        <v>675</v>
      </c>
      <c r="F409" s="4">
        <v>0.36</v>
      </c>
      <c r="I409" t="s">
        <v>676</v>
      </c>
    </row>
    <row r="410" spans="2:11" x14ac:dyDescent="0.3">
      <c r="B410" s="29" t="s">
        <v>18</v>
      </c>
      <c r="C410" s="8" t="s">
        <v>33</v>
      </c>
      <c r="D410" s="4">
        <v>46.3</v>
      </c>
      <c r="E410" t="s">
        <v>675</v>
      </c>
      <c r="F410" s="4">
        <v>0.46299999999999997</v>
      </c>
      <c r="I410" t="s">
        <v>677</v>
      </c>
      <c r="J410" t="s">
        <v>678</v>
      </c>
    </row>
    <row r="411" spans="2:11" x14ac:dyDescent="0.3">
      <c r="B411" s="29" t="s">
        <v>18</v>
      </c>
      <c r="C411" s="8"/>
      <c r="D411">
        <v>0.6</v>
      </c>
      <c r="E411" t="s">
        <v>61</v>
      </c>
      <c r="F411" s="4">
        <v>0.20901333333333336</v>
      </c>
      <c r="I411" t="s">
        <v>679</v>
      </c>
      <c r="J411" t="s">
        <v>680</v>
      </c>
    </row>
    <row r="412" spans="2:11" x14ac:dyDescent="0.3">
      <c r="B412" s="29" t="s">
        <v>18</v>
      </c>
      <c r="C412" t="s">
        <v>84</v>
      </c>
      <c r="D412" s="4">
        <f>[1]Wheat!$E$699</f>
        <v>0.31768000000000002</v>
      </c>
      <c r="E412" t="s">
        <v>458</v>
      </c>
      <c r="F412" s="4">
        <v>0.15884000000000001</v>
      </c>
      <c r="G412" s="1">
        <f>F412</f>
        <v>0.15884000000000001</v>
      </c>
      <c r="I412" s="12" t="s">
        <v>86</v>
      </c>
      <c r="J412" t="s">
        <v>681</v>
      </c>
    </row>
    <row r="413" spans="2:11" x14ac:dyDescent="0.3">
      <c r="B413" s="29" t="s">
        <v>18</v>
      </c>
      <c r="C413" s="8" t="s">
        <v>3</v>
      </c>
      <c r="D413" s="4">
        <v>0.12</v>
      </c>
      <c r="E413" t="s">
        <v>682</v>
      </c>
      <c r="F413" s="4">
        <v>0.12</v>
      </c>
      <c r="G413" s="1">
        <f>AVERAGE(F413:F417)</f>
        <v>0.11537559842105265</v>
      </c>
      <c r="H413">
        <f>_xlfn.STDEV.P(F413:F417)</f>
        <v>2.4149568768222673E-2</v>
      </c>
      <c r="I413" t="s">
        <v>683</v>
      </c>
      <c r="J413" t="s">
        <v>684</v>
      </c>
    </row>
    <row r="414" spans="2:11" x14ac:dyDescent="0.3">
      <c r="B414" s="29" t="s">
        <v>18</v>
      </c>
      <c r="C414" s="8" t="s">
        <v>33</v>
      </c>
      <c r="D414" t="s">
        <v>685</v>
      </c>
      <c r="E414" t="s">
        <v>686</v>
      </c>
      <c r="F414" s="4">
        <v>6.8691719298245635E-2</v>
      </c>
      <c r="I414" t="s">
        <v>687</v>
      </c>
    </row>
    <row r="415" spans="2:11" x14ac:dyDescent="0.3">
      <c r="B415" s="29" t="s">
        <v>18</v>
      </c>
      <c r="C415" s="8" t="s">
        <v>33</v>
      </c>
      <c r="D415" s="4">
        <v>88</v>
      </c>
      <c r="E415" t="s">
        <v>688</v>
      </c>
      <c r="F415" s="4">
        <v>0.13738343859649127</v>
      </c>
      <c r="I415" t="s">
        <v>689</v>
      </c>
      <c r="J415" t="s">
        <v>690</v>
      </c>
    </row>
    <row r="416" spans="2:11" x14ac:dyDescent="0.3">
      <c r="B416" s="29" t="s">
        <v>18</v>
      </c>
      <c r="C416" s="8" t="s">
        <v>33</v>
      </c>
      <c r="D416" s="4" t="s">
        <v>691</v>
      </c>
      <c r="E416" t="s">
        <v>692</v>
      </c>
      <c r="F416" s="4">
        <v>0.12926532631578946</v>
      </c>
      <c r="I416" t="s">
        <v>693</v>
      </c>
      <c r="J416" t="s">
        <v>694</v>
      </c>
    </row>
    <row r="417" spans="2:11" x14ac:dyDescent="0.3">
      <c r="B417" s="29" t="s">
        <v>18</v>
      </c>
      <c r="C417" s="8" t="s">
        <v>33</v>
      </c>
      <c r="D417" s="4">
        <v>103.8</v>
      </c>
      <c r="E417" t="s">
        <v>695</v>
      </c>
      <c r="F417" s="4">
        <v>0.12153750789473686</v>
      </c>
      <c r="I417" t="s">
        <v>696</v>
      </c>
      <c r="J417" t="s">
        <v>697</v>
      </c>
    </row>
    <row r="418" spans="2:11" x14ac:dyDescent="0.3">
      <c r="B418" s="29" t="s">
        <v>18</v>
      </c>
      <c r="C418" s="8" t="s">
        <v>8</v>
      </c>
      <c r="D418" s="4">
        <v>8.5295898947368443E-2</v>
      </c>
      <c r="E418" t="s">
        <v>458</v>
      </c>
      <c r="F418" s="4">
        <v>4.2647949473684221E-2</v>
      </c>
      <c r="G418" s="1">
        <f>F418</f>
        <v>4.2647949473684221E-2</v>
      </c>
      <c r="I418" s="12" t="s">
        <v>86</v>
      </c>
      <c r="J418" t="s">
        <v>698</v>
      </c>
    </row>
    <row r="419" spans="2:11" x14ac:dyDescent="0.3">
      <c r="B419" s="29" t="s">
        <v>18</v>
      </c>
      <c r="C419" s="8" t="s">
        <v>101</v>
      </c>
      <c r="D419" s="4">
        <v>27</v>
      </c>
      <c r="E419" t="s">
        <v>699</v>
      </c>
      <c r="F419" s="4">
        <v>2.1260250000000001E-2</v>
      </c>
      <c r="G419" s="1">
        <f>AVERAGE(F419:F420)</f>
        <v>1.44712E-2</v>
      </c>
      <c r="H419">
        <f>_xlfn.STDEV.P(F419:F420)</f>
        <v>6.7890500000000013E-3</v>
      </c>
      <c r="I419" t="s">
        <v>700</v>
      </c>
      <c r="J419" t="s">
        <v>701</v>
      </c>
    </row>
    <row r="420" spans="2:11" x14ac:dyDescent="0.3">
      <c r="B420" s="29" t="s">
        <v>18</v>
      </c>
      <c r="C420" s="8" t="s">
        <v>33</v>
      </c>
      <c r="D420" s="4" t="s">
        <v>702</v>
      </c>
      <c r="E420" t="s">
        <v>703</v>
      </c>
      <c r="F420" s="4">
        <v>7.6821499999999987E-3</v>
      </c>
      <c r="I420" t="s">
        <v>704</v>
      </c>
    </row>
    <row r="421" spans="2:11" x14ac:dyDescent="0.3">
      <c r="B421" s="29" t="s">
        <v>18</v>
      </c>
      <c r="C421" s="8" t="s">
        <v>105</v>
      </c>
      <c r="D421" s="4" t="s">
        <v>705</v>
      </c>
      <c r="E421" t="s">
        <v>706</v>
      </c>
      <c r="F421" s="4">
        <v>0.29213734428308347</v>
      </c>
      <c r="G421" s="1">
        <f>AVERAGE(F421:F425)</f>
        <v>0.2640288411974992</v>
      </c>
      <c r="H421">
        <f>_xlfn.STDEV.P(F421:F425)</f>
        <v>8.2018674062513466E-2</v>
      </c>
      <c r="I421" t="s">
        <v>707</v>
      </c>
      <c r="J421" t="s">
        <v>708</v>
      </c>
    </row>
    <row r="422" spans="2:11" ht="15" customHeight="1" x14ac:dyDescent="0.3">
      <c r="B422" s="29" t="s">
        <v>18</v>
      </c>
      <c r="C422" s="8" t="s">
        <v>33</v>
      </c>
      <c r="D422" s="4">
        <v>0.83</v>
      </c>
      <c r="E422" t="s">
        <v>709</v>
      </c>
      <c r="F422" s="4">
        <v>0.105825</v>
      </c>
      <c r="I422" t="s">
        <v>710</v>
      </c>
      <c r="J422" t="s">
        <v>711</v>
      </c>
    </row>
    <row r="423" spans="2:11" x14ac:dyDescent="0.3">
      <c r="B423" s="29" t="s">
        <v>18</v>
      </c>
      <c r="C423" s="8" t="s">
        <v>33</v>
      </c>
      <c r="D423" s="4" t="s">
        <v>712</v>
      </c>
      <c r="E423" t="s">
        <v>713</v>
      </c>
      <c r="F423" s="4">
        <v>0.28683248541307815</v>
      </c>
      <c r="I423" t="s">
        <v>714</v>
      </c>
      <c r="J423" t="s">
        <v>715</v>
      </c>
    </row>
    <row r="424" spans="2:11" x14ac:dyDescent="0.3">
      <c r="B424" s="29" t="s">
        <v>18</v>
      </c>
      <c r="C424" s="8" t="s">
        <v>33</v>
      </c>
      <c r="D424" s="4" t="s">
        <v>716</v>
      </c>
      <c r="E424" t="s">
        <v>717</v>
      </c>
      <c r="F424" s="4">
        <v>0.28991670568633704</v>
      </c>
      <c r="I424" t="s">
        <v>718</v>
      </c>
      <c r="J424" t="s">
        <v>719</v>
      </c>
    </row>
    <row r="425" spans="2:11" x14ac:dyDescent="0.3">
      <c r="B425" s="29" t="s">
        <v>18</v>
      </c>
      <c r="C425" s="8" t="s">
        <v>33</v>
      </c>
      <c r="D425" s="4">
        <v>1.1200000000000001</v>
      </c>
      <c r="E425" t="s">
        <v>720</v>
      </c>
      <c r="F425" s="4">
        <v>0.34543267060499738</v>
      </c>
      <c r="I425" t="s">
        <v>721</v>
      </c>
    </row>
    <row r="426" spans="2:11" x14ac:dyDescent="0.3">
      <c r="B426" s="29" t="s">
        <v>18</v>
      </c>
      <c r="C426" s="8" t="s">
        <v>119</v>
      </c>
      <c r="D426" s="4">
        <v>0.26</v>
      </c>
      <c r="E426" t="s">
        <v>722</v>
      </c>
      <c r="F426" s="4">
        <v>0.20103013640404041</v>
      </c>
      <c r="G426" s="1">
        <f>AVERAGE(F426:F430)</f>
        <v>0.45932744691717176</v>
      </c>
      <c r="H426">
        <f>_xlfn.STDEV.P(F426:F430)</f>
        <v>0.23005679447252478</v>
      </c>
      <c r="I426" t="s">
        <v>723</v>
      </c>
    </row>
    <row r="427" spans="2:11" x14ac:dyDescent="0.3">
      <c r="B427" s="29" t="s">
        <v>18</v>
      </c>
      <c r="C427" s="8" t="s">
        <v>33</v>
      </c>
      <c r="D427" s="4">
        <v>0.57999999999999996</v>
      </c>
      <c r="E427" t="s">
        <v>724</v>
      </c>
      <c r="F427" s="4">
        <v>0.52779999999999994</v>
      </c>
      <c r="I427" t="s">
        <v>725</v>
      </c>
      <c r="J427" t="s">
        <v>726</v>
      </c>
    </row>
    <row r="428" spans="2:11" x14ac:dyDescent="0.3">
      <c r="B428" s="29" t="s">
        <v>18</v>
      </c>
      <c r="C428" s="8" t="s">
        <v>33</v>
      </c>
      <c r="D428" s="4">
        <v>0.87</v>
      </c>
      <c r="E428" t="s">
        <v>727</v>
      </c>
      <c r="F428" s="4">
        <v>0.67267776412121216</v>
      </c>
      <c r="I428" t="s">
        <v>728</v>
      </c>
      <c r="J428" t="s">
        <v>729</v>
      </c>
    </row>
    <row r="429" spans="2:11" x14ac:dyDescent="0.3">
      <c r="B429" s="29" t="s">
        <v>18</v>
      </c>
      <c r="C429" s="8" t="s">
        <v>33</v>
      </c>
      <c r="D429" s="4" t="s">
        <v>730</v>
      </c>
      <c r="E429" t="s">
        <v>731</v>
      </c>
      <c r="F429" s="4">
        <v>0.17606000000000002</v>
      </c>
      <c r="I429" t="s">
        <v>732</v>
      </c>
      <c r="J429" t="s">
        <v>733</v>
      </c>
    </row>
    <row r="430" spans="2:11" x14ac:dyDescent="0.3">
      <c r="B430" s="29" t="s">
        <v>18</v>
      </c>
      <c r="C430" s="8" t="s">
        <v>33</v>
      </c>
      <c r="D430" s="4">
        <v>0.93</v>
      </c>
      <c r="E430" t="s">
        <v>734</v>
      </c>
      <c r="F430" s="4">
        <v>0.71906933406060614</v>
      </c>
      <c r="I430" t="s">
        <v>735</v>
      </c>
      <c r="J430" t="s">
        <v>736</v>
      </c>
    </row>
    <row r="431" spans="2:11" x14ac:dyDescent="0.3">
      <c r="B431" s="29" t="s">
        <v>18</v>
      </c>
      <c r="C431" s="8" t="s">
        <v>133</v>
      </c>
      <c r="D431" s="4">
        <v>95</v>
      </c>
      <c r="E431" t="s">
        <v>737</v>
      </c>
      <c r="F431" s="4">
        <v>0.52864999999999995</v>
      </c>
      <c r="G431" s="1">
        <f>AVERAGE(F431:F435)</f>
        <v>0.49203403157894743</v>
      </c>
      <c r="H431">
        <f>_xlfn.STDEV.P(F431:F435)</f>
        <v>4.2703545427742608E-2</v>
      </c>
      <c r="I431" t="s">
        <v>738</v>
      </c>
      <c r="K431" t="s">
        <v>739</v>
      </c>
    </row>
    <row r="432" spans="2:11" x14ac:dyDescent="0.3">
      <c r="B432" s="29" t="s">
        <v>18</v>
      </c>
      <c r="C432" s="8" t="s">
        <v>33</v>
      </c>
      <c r="D432" s="4">
        <v>78.3</v>
      </c>
      <c r="E432" t="s">
        <v>737</v>
      </c>
      <c r="F432" s="4">
        <v>0.43571889473684217</v>
      </c>
      <c r="I432" t="s">
        <v>740</v>
      </c>
      <c r="J432" t="s">
        <v>741</v>
      </c>
    </row>
    <row r="433" spans="2:10" x14ac:dyDescent="0.3">
      <c r="B433" s="29" t="s">
        <v>18</v>
      </c>
      <c r="C433" s="8" t="s">
        <v>33</v>
      </c>
      <c r="D433" s="4">
        <v>0.89800000000000002</v>
      </c>
      <c r="E433" t="s">
        <v>742</v>
      </c>
      <c r="F433" s="4">
        <v>0.49971336842105268</v>
      </c>
      <c r="I433" t="s">
        <v>743</v>
      </c>
      <c r="J433" t="s">
        <v>744</v>
      </c>
    </row>
    <row r="434" spans="2:10" x14ac:dyDescent="0.3">
      <c r="B434" s="29" t="s">
        <v>18</v>
      </c>
      <c r="C434" s="8" t="s">
        <v>33</v>
      </c>
      <c r="D434" s="4">
        <v>0.98</v>
      </c>
      <c r="E434" t="s">
        <v>745</v>
      </c>
      <c r="F434" s="4">
        <v>0.54534421052631576</v>
      </c>
      <c r="I434" t="s">
        <v>746</v>
      </c>
      <c r="J434" t="s">
        <v>747</v>
      </c>
    </row>
    <row r="435" spans="2:10" x14ac:dyDescent="0.3">
      <c r="B435" s="29" t="s">
        <v>18</v>
      </c>
      <c r="C435" s="8" t="s">
        <v>33</v>
      </c>
      <c r="D435" s="4">
        <v>0.81</v>
      </c>
      <c r="E435" t="s">
        <v>748</v>
      </c>
      <c r="F435" s="4">
        <v>0.45074368421052635</v>
      </c>
      <c r="I435" t="s">
        <v>749</v>
      </c>
      <c r="J435" t="s">
        <v>750</v>
      </c>
    </row>
    <row r="436" spans="2:10" x14ac:dyDescent="0.3">
      <c r="B436" s="29" t="s">
        <v>18</v>
      </c>
      <c r="C436" t="s">
        <v>4</v>
      </c>
      <c r="D436" s="4">
        <f>'[1]Sugar Beet'!$E$470</f>
        <v>7.080413946666668E-2</v>
      </c>
      <c r="E436" t="s">
        <v>458</v>
      </c>
      <c r="F436" s="4">
        <v>3.540206973333334E-2</v>
      </c>
      <c r="G436" s="1">
        <f>F436</f>
        <v>3.540206973333334E-2</v>
      </c>
      <c r="I436" s="12" t="s">
        <v>86</v>
      </c>
      <c r="J436" t="s">
        <v>751</v>
      </c>
    </row>
    <row r="437" spans="2:10" x14ac:dyDescent="0.3">
      <c r="B437" s="29" t="s">
        <v>18</v>
      </c>
      <c r="C437" s="8" t="s">
        <v>165</v>
      </c>
      <c r="D437" s="4" t="s">
        <v>752</v>
      </c>
      <c r="E437" t="s">
        <v>753</v>
      </c>
      <c r="F437" s="4">
        <v>0.10097142857142859</v>
      </c>
      <c r="G437" s="1">
        <f>AVERAGE(F437:F439)</f>
        <v>0.12524190635446972</v>
      </c>
      <c r="H437">
        <f>_xlfn.STDEV.P(F437:F439)</f>
        <v>1.7287827452112034E-2</v>
      </c>
      <c r="I437" t="s">
        <v>754</v>
      </c>
      <c r="J437" t="s">
        <v>755</v>
      </c>
    </row>
    <row r="438" spans="2:10" x14ac:dyDescent="0.3">
      <c r="B438" s="29" t="s">
        <v>18</v>
      </c>
      <c r="C438" s="8" t="s">
        <v>33</v>
      </c>
      <c r="D438" s="4" t="s">
        <v>756</v>
      </c>
      <c r="E438" t="s">
        <v>757</v>
      </c>
      <c r="F438" s="4">
        <v>0.13992888938641226</v>
      </c>
      <c r="I438" t="s">
        <v>758</v>
      </c>
    </row>
    <row r="439" spans="2:10" x14ac:dyDescent="0.3">
      <c r="B439" s="29" t="s">
        <v>18</v>
      </c>
      <c r="C439" s="8" t="s">
        <v>33</v>
      </c>
      <c r="D439" s="4" t="s">
        <v>759</v>
      </c>
      <c r="E439" t="s">
        <v>760</v>
      </c>
      <c r="F439" s="4">
        <v>0.13482540110556829</v>
      </c>
      <c r="I439" t="s">
        <v>761</v>
      </c>
      <c r="J439" t="s">
        <v>762</v>
      </c>
    </row>
    <row r="440" spans="2:10" x14ac:dyDescent="0.3">
      <c r="B440" s="29" t="s">
        <v>18</v>
      </c>
      <c r="C440" s="8" t="s">
        <v>181</v>
      </c>
      <c r="D440" s="4" t="s">
        <v>763</v>
      </c>
      <c r="E440" t="s">
        <v>717</v>
      </c>
      <c r="F440" s="4">
        <v>0.27042774111111106</v>
      </c>
      <c r="G440" s="1">
        <f>AVERAGE(F440:F444)</f>
        <v>0.20485741112706943</v>
      </c>
      <c r="H440">
        <f>_xlfn.STDEV.P(F440:F444)</f>
        <v>5.7766927517695882E-2</v>
      </c>
      <c r="I440" t="s">
        <v>764</v>
      </c>
      <c r="J440" t="s">
        <v>765</v>
      </c>
    </row>
    <row r="441" spans="2:10" x14ac:dyDescent="0.3">
      <c r="B441" s="29" t="s">
        <v>18</v>
      </c>
      <c r="C441" s="8" t="s">
        <v>33</v>
      </c>
      <c r="D441" s="4">
        <f>88/89.93</f>
        <v>0.97853886356054698</v>
      </c>
      <c r="E441" t="s">
        <v>709</v>
      </c>
      <c r="F441" s="4">
        <v>0.1359748248637829</v>
      </c>
      <c r="I441" t="s">
        <v>766</v>
      </c>
      <c r="J441" t="s">
        <v>767</v>
      </c>
    </row>
    <row r="442" spans="2:10" x14ac:dyDescent="0.3">
      <c r="B442" s="29" t="s">
        <v>18</v>
      </c>
      <c r="C442" s="8" t="s">
        <v>33</v>
      </c>
      <c r="D442">
        <f>53.61/90</f>
        <v>0.59566666666666668</v>
      </c>
      <c r="E442" t="s">
        <v>768</v>
      </c>
      <c r="F442" s="4">
        <v>0.18167457645321636</v>
      </c>
      <c r="I442" t="s">
        <v>769</v>
      </c>
      <c r="J442" t="s">
        <v>770</v>
      </c>
    </row>
    <row r="443" spans="2:10" x14ac:dyDescent="0.3">
      <c r="B443" s="29" t="s">
        <v>18</v>
      </c>
      <c r="C443" s="8" t="s">
        <v>33</v>
      </c>
      <c r="D443" s="4" t="s">
        <v>771</v>
      </c>
      <c r="E443" t="s">
        <v>772</v>
      </c>
      <c r="F443" s="4">
        <v>0.27620991320723681</v>
      </c>
      <c r="I443" t="s">
        <v>773</v>
      </c>
      <c r="J443" t="s">
        <v>774</v>
      </c>
    </row>
    <row r="444" spans="2:10" x14ac:dyDescent="0.3">
      <c r="B444" s="29" t="s">
        <v>18</v>
      </c>
      <c r="C444" s="8" t="s">
        <v>33</v>
      </c>
      <c r="D444" s="4">
        <f>24/150</f>
        <v>0.16</v>
      </c>
      <c r="E444" t="s">
        <v>775</v>
      </c>
      <c r="F444" s="4">
        <v>0.16</v>
      </c>
      <c r="I444" t="s">
        <v>684</v>
      </c>
      <c r="J444" t="s">
        <v>776</v>
      </c>
    </row>
    <row r="445" spans="2:10" x14ac:dyDescent="0.3">
      <c r="B445" s="29" t="s">
        <v>18</v>
      </c>
      <c r="C445" s="8" t="s">
        <v>198</v>
      </c>
      <c r="D445" s="4">
        <v>0.62826666666666664</v>
      </c>
      <c r="E445" t="s">
        <v>458</v>
      </c>
      <c r="F445" s="4">
        <v>0.31413333333333332</v>
      </c>
      <c r="G445" s="1">
        <f>F445</f>
        <v>0.31413333333333332</v>
      </c>
      <c r="I445" s="12" t="s">
        <v>86</v>
      </c>
      <c r="J445" t="s">
        <v>777</v>
      </c>
    </row>
    <row r="446" spans="2:10" x14ac:dyDescent="0.3">
      <c r="B446" s="29" t="s">
        <v>18</v>
      </c>
      <c r="C446" s="8" t="s">
        <v>209</v>
      </c>
      <c r="D446" s="4" t="s">
        <v>778</v>
      </c>
      <c r="E446" t="s">
        <v>462</v>
      </c>
      <c r="F446" s="4">
        <v>4.1086666666666674E-2</v>
      </c>
      <c r="G446" s="1">
        <f>AVERAGE(F446:F450)</f>
        <v>0.2479313245866667</v>
      </c>
      <c r="H446">
        <f>_xlfn.STDEV.P(F446:F450)</f>
        <v>0.17348417587982654</v>
      </c>
      <c r="I446" t="s">
        <v>779</v>
      </c>
      <c r="J446" t="s">
        <v>780</v>
      </c>
    </row>
    <row r="447" spans="2:10" x14ac:dyDescent="0.3">
      <c r="B447" s="29" t="s">
        <v>18</v>
      </c>
      <c r="C447" s="8" t="s">
        <v>33</v>
      </c>
      <c r="D447" s="4">
        <v>6.79</v>
      </c>
      <c r="E447" t="s">
        <v>781</v>
      </c>
      <c r="F447" s="4">
        <v>6.7900000000000002E-2</v>
      </c>
      <c r="I447" t="s">
        <v>782</v>
      </c>
    </row>
    <row r="448" spans="2:10" x14ac:dyDescent="0.3">
      <c r="B448" s="29" t="s">
        <v>18</v>
      </c>
      <c r="C448" s="8" t="s">
        <v>33</v>
      </c>
      <c r="D448" s="4">
        <v>0.83</v>
      </c>
      <c r="E448" t="s">
        <v>783</v>
      </c>
      <c r="F448" s="4">
        <v>0.39900342844444442</v>
      </c>
      <c r="I448" t="s">
        <v>784</v>
      </c>
    </row>
    <row r="449" spans="2:9" x14ac:dyDescent="0.3">
      <c r="B449" s="29" t="s">
        <v>18</v>
      </c>
      <c r="C449" s="8" t="s">
        <v>33</v>
      </c>
      <c r="D449" s="4">
        <v>99.2</v>
      </c>
      <c r="E449" t="s">
        <v>785</v>
      </c>
      <c r="F449" s="4">
        <v>0.47688120604444439</v>
      </c>
      <c r="I449" t="s">
        <v>786</v>
      </c>
    </row>
    <row r="450" spans="2:9" x14ac:dyDescent="0.3">
      <c r="B450" s="29" t="s">
        <v>18</v>
      </c>
      <c r="C450" s="8" t="s">
        <v>33</v>
      </c>
      <c r="D450" s="4">
        <v>0.53</v>
      </c>
      <c r="E450" t="s">
        <v>787</v>
      </c>
      <c r="F450" s="4">
        <v>0.2547853217777778</v>
      </c>
      <c r="I450" t="s">
        <v>788</v>
      </c>
    </row>
    <row r="451" spans="2:9" x14ac:dyDescent="0.3">
      <c r="B451" s="29" t="s">
        <v>18</v>
      </c>
      <c r="C451" s="16" t="s">
        <v>221</v>
      </c>
      <c r="D451" s="4" t="s">
        <v>789</v>
      </c>
      <c r="E451" t="s">
        <v>790</v>
      </c>
      <c r="F451" s="4">
        <v>0.1522306825705263</v>
      </c>
      <c r="G451" s="1">
        <f>AVERAGE(F451:F455)</f>
        <v>0.14128486077141517</v>
      </c>
      <c r="H451">
        <f>_xlfn.STDEV.P(F451:F455)</f>
        <v>1.5483633255591246E-2</v>
      </c>
      <c r="I451" t="s">
        <v>791</v>
      </c>
    </row>
    <row r="452" spans="2:9" x14ac:dyDescent="0.3">
      <c r="B452" s="29" t="s">
        <v>18</v>
      </c>
      <c r="C452" s="6" t="s">
        <v>33</v>
      </c>
      <c r="D452">
        <v>68</v>
      </c>
      <c r="E452" t="s">
        <v>792</v>
      </c>
      <c r="F452">
        <v>0.11282983906432748</v>
      </c>
      <c r="I452" t="s">
        <v>793</v>
      </c>
    </row>
    <row r="453" spans="2:9" x14ac:dyDescent="0.3">
      <c r="B453" s="29" t="s">
        <v>18</v>
      </c>
      <c r="C453" s="6" t="s">
        <v>33</v>
      </c>
      <c r="D453" s="3">
        <v>85</v>
      </c>
      <c r="E453" t="s">
        <v>792</v>
      </c>
      <c r="F453">
        <v>0.14103729883040933</v>
      </c>
      <c r="I453" t="s">
        <v>794</v>
      </c>
    </row>
    <row r="454" spans="2:9" x14ac:dyDescent="0.3">
      <c r="B454" s="29" t="s">
        <v>18</v>
      </c>
      <c r="C454" s="6" t="s">
        <v>33</v>
      </c>
      <c r="D454" t="s">
        <v>795</v>
      </c>
      <c r="E454" t="s">
        <v>796</v>
      </c>
      <c r="F454">
        <v>0.14269656116959062</v>
      </c>
      <c r="I454" t="s">
        <v>797</v>
      </c>
    </row>
    <row r="455" spans="2:9" x14ac:dyDescent="0.3">
      <c r="B455" s="29" t="s">
        <v>18</v>
      </c>
      <c r="C455" s="8" t="s">
        <v>33</v>
      </c>
      <c r="D455">
        <v>0.95</v>
      </c>
      <c r="E455" t="s">
        <v>798</v>
      </c>
      <c r="F455" s="4">
        <v>0.15762992222222219</v>
      </c>
      <c r="I455" t="s">
        <v>799</v>
      </c>
    </row>
    <row r="456" spans="2:9" x14ac:dyDescent="0.3">
      <c r="B456" s="29" t="s">
        <v>18</v>
      </c>
      <c r="C456" s="16" t="s">
        <v>9</v>
      </c>
      <c r="D456" t="s">
        <v>800</v>
      </c>
      <c r="E456" t="s">
        <v>801</v>
      </c>
      <c r="F456" s="4">
        <v>6.7890833725263153E-2</v>
      </c>
      <c r="G456" s="1">
        <f>AVERAGE(F456:F458)</f>
        <v>6.1321013902463938E-2</v>
      </c>
      <c r="H456">
        <f>_xlfn.STDEV.P(F456:F458)</f>
        <v>9.2779610224469466E-3</v>
      </c>
      <c r="I456" t="s">
        <v>802</v>
      </c>
    </row>
    <row r="457" spans="2:9" x14ac:dyDescent="0.3">
      <c r="B457" s="29" t="s">
        <v>18</v>
      </c>
      <c r="C457" s="8" t="s">
        <v>33</v>
      </c>
      <c r="D457" t="s">
        <v>803</v>
      </c>
      <c r="E457" t="s">
        <v>804</v>
      </c>
      <c r="F457" s="4">
        <v>6.787220798212866E-2</v>
      </c>
      <c r="I457" t="s">
        <v>805</v>
      </c>
    </row>
    <row r="458" spans="2:9" x14ac:dyDescent="0.3">
      <c r="B458" s="29" t="s">
        <v>18</v>
      </c>
      <c r="C458" s="6" t="s">
        <v>33</v>
      </c>
      <c r="D458" s="4">
        <v>0.4</v>
      </c>
      <c r="E458" t="s">
        <v>806</v>
      </c>
      <c r="F458" s="4">
        <v>4.8200000000000007E-2</v>
      </c>
      <c r="I458" t="s">
        <v>807</v>
      </c>
    </row>
    <row r="459" spans="2:9" x14ac:dyDescent="0.3">
      <c r="B459" s="29" t="s">
        <v>18</v>
      </c>
      <c r="C459" s="16" t="s">
        <v>246</v>
      </c>
      <c r="D459" s="4">
        <v>35.5</v>
      </c>
      <c r="E459" t="s">
        <v>808</v>
      </c>
      <c r="F459" s="4">
        <v>0.31960649999999996</v>
      </c>
      <c r="G459" s="1">
        <f>AVERAGE(F459:F461)</f>
        <v>0.35591860000000003</v>
      </c>
      <c r="H459">
        <f>_xlfn.STDEV.P(F459:F461)</f>
        <v>4.4534273769984985E-2</v>
      </c>
      <c r="I459" t="s">
        <v>809</v>
      </c>
    </row>
    <row r="460" spans="2:9" x14ac:dyDescent="0.3">
      <c r="B460" s="29" t="s">
        <v>18</v>
      </c>
      <c r="C460" s="16" t="s">
        <v>33</v>
      </c>
      <c r="D460" s="4">
        <v>46.5</v>
      </c>
      <c r="E460" t="s">
        <v>808</v>
      </c>
      <c r="F460" s="4">
        <v>0.4186395</v>
      </c>
      <c r="I460" t="s">
        <v>810</v>
      </c>
    </row>
    <row r="461" spans="2:9" x14ac:dyDescent="0.3">
      <c r="B461" s="29" t="s">
        <v>18</v>
      </c>
      <c r="C461" s="16" t="s">
        <v>33</v>
      </c>
      <c r="D461" s="4">
        <v>36.6</v>
      </c>
      <c r="E461" t="s">
        <v>808</v>
      </c>
      <c r="F461" s="4">
        <v>0.32950979999999996</v>
      </c>
      <c r="I461" t="s">
        <v>811</v>
      </c>
    </row>
    <row r="462" spans="2:9" x14ac:dyDescent="0.3">
      <c r="B462" s="29" t="s">
        <v>18</v>
      </c>
      <c r="C462" s="16" t="s">
        <v>257</v>
      </c>
      <c r="D462" s="4">
        <v>8.8468000000000005E-2</v>
      </c>
      <c r="E462" t="s">
        <v>458</v>
      </c>
      <c r="F462" s="4">
        <v>4.4234000000000002E-2</v>
      </c>
      <c r="G462" s="1">
        <f>F462</f>
        <v>4.4234000000000002E-2</v>
      </c>
      <c r="H462">
        <v>0</v>
      </c>
      <c r="I462" s="12" t="s">
        <v>86</v>
      </c>
    </row>
    <row r="463" spans="2:9" x14ac:dyDescent="0.3">
      <c r="B463" s="29" t="s">
        <v>18</v>
      </c>
      <c r="C463" s="16" t="s">
        <v>272</v>
      </c>
      <c r="D463" s="4" t="s">
        <v>812</v>
      </c>
      <c r="E463" t="s">
        <v>813</v>
      </c>
      <c r="F463" s="4">
        <v>0.12101847578947368</v>
      </c>
      <c r="G463" s="1">
        <f>AVERAGE(F463:F467)</f>
        <v>0.117991707494257</v>
      </c>
      <c r="H463">
        <f>_xlfn.STDEV.P(F463:F467)</f>
        <v>3.0014923717446542E-2</v>
      </c>
      <c r="I463" t="s">
        <v>814</v>
      </c>
    </row>
    <row r="464" spans="2:9" x14ac:dyDescent="0.3">
      <c r="B464" s="29" t="s">
        <v>18</v>
      </c>
      <c r="C464" s="16" t="s">
        <v>33</v>
      </c>
      <c r="D464" s="4">
        <v>0.88</v>
      </c>
      <c r="E464" t="s">
        <v>815</v>
      </c>
      <c r="F464" s="4">
        <v>0.13866700350877192</v>
      </c>
      <c r="I464" t="s">
        <v>816</v>
      </c>
    </row>
    <row r="465" spans="2:9" x14ac:dyDescent="0.3">
      <c r="B465" s="29" t="s">
        <v>18</v>
      </c>
      <c r="C465" s="16" t="s">
        <v>33</v>
      </c>
      <c r="D465" s="4" t="s">
        <v>817</v>
      </c>
      <c r="E465" t="s">
        <v>462</v>
      </c>
      <c r="F465" s="4">
        <v>5.936330918518519E-2</v>
      </c>
      <c r="I465" t="s">
        <v>818</v>
      </c>
    </row>
    <row r="466" spans="2:9" x14ac:dyDescent="0.3">
      <c r="B466" s="29" t="s">
        <v>18</v>
      </c>
      <c r="C466" s="16" t="s">
        <v>33</v>
      </c>
      <c r="D466" s="4" t="s">
        <v>819</v>
      </c>
      <c r="E466" t="s">
        <v>820</v>
      </c>
      <c r="F466" s="4">
        <v>0.1322427454790823</v>
      </c>
      <c r="I466" t="s">
        <v>821</v>
      </c>
    </row>
    <row r="467" spans="2:9" x14ac:dyDescent="0.3">
      <c r="B467" s="29" t="s">
        <v>18</v>
      </c>
      <c r="C467" s="16" t="s">
        <v>33</v>
      </c>
      <c r="D467" s="4">
        <v>88</v>
      </c>
      <c r="E467" t="s">
        <v>822</v>
      </c>
      <c r="F467" s="4">
        <v>0.13866700350877192</v>
      </c>
      <c r="I467" t="s">
        <v>823</v>
      </c>
    </row>
    <row r="468" spans="2:9" x14ac:dyDescent="0.3">
      <c r="B468" s="29" t="s">
        <v>18</v>
      </c>
      <c r="C468" s="16" t="s">
        <v>280</v>
      </c>
      <c r="D468" s="4">
        <v>0.12441600000000003</v>
      </c>
      <c r="E468" t="s">
        <v>458</v>
      </c>
      <c r="F468" s="4">
        <v>6.2208000000000013E-2</v>
      </c>
      <c r="G468" s="1">
        <f>F468</f>
        <v>6.2208000000000013E-2</v>
      </c>
      <c r="I468" s="12" t="s">
        <v>86</v>
      </c>
    </row>
    <row r="469" spans="2:9" x14ac:dyDescent="0.3">
      <c r="B469" s="29" t="s">
        <v>18</v>
      </c>
      <c r="C469" s="16" t="s">
        <v>293</v>
      </c>
      <c r="D469" s="4" t="s">
        <v>824</v>
      </c>
      <c r="E469" t="s">
        <v>825</v>
      </c>
      <c r="F469" s="4">
        <v>0.40399620482603815</v>
      </c>
      <c r="G469" s="1">
        <f>AVERAGE(F469:F470)</f>
        <v>0.39962276823793491</v>
      </c>
      <c r="H469">
        <f>_xlfn.STDEV.P(F469:F470)</f>
        <v>4.3734365881032411E-3</v>
      </c>
      <c r="I469" t="s">
        <v>826</v>
      </c>
    </row>
    <row r="470" spans="2:9" x14ac:dyDescent="0.3">
      <c r="B470" s="29" t="s">
        <v>18</v>
      </c>
      <c r="C470" s="16" t="s">
        <v>33</v>
      </c>
      <c r="D470" s="4" t="s">
        <v>827</v>
      </c>
      <c r="E470" t="s">
        <v>828</v>
      </c>
      <c r="F470" s="4">
        <v>0.39524933164983167</v>
      </c>
      <c r="I470" t="s">
        <v>829</v>
      </c>
    </row>
    <row r="471" spans="2:9" ht="15" customHeight="1" x14ac:dyDescent="0.3">
      <c r="B471" s="29" t="s">
        <v>18</v>
      </c>
      <c r="C471" s="16" t="s">
        <v>306</v>
      </c>
      <c r="D471" s="4">
        <v>9.0746435930505062E-2</v>
      </c>
      <c r="E471" t="s">
        <v>458</v>
      </c>
      <c r="F471" s="4">
        <v>4.5373217965252531E-2</v>
      </c>
      <c r="G471" s="1">
        <f>F471</f>
        <v>4.5373217965252531E-2</v>
      </c>
      <c r="I471" s="12" t="s">
        <v>86</v>
      </c>
    </row>
    <row r="472" spans="2:9" ht="15" customHeight="1" x14ac:dyDescent="0.3">
      <c r="B472" s="29" t="s">
        <v>18</v>
      </c>
      <c r="C472" s="16" t="s">
        <v>312</v>
      </c>
      <c r="D472" s="4">
        <f>0.4*1.67</f>
        <v>0.66800000000000004</v>
      </c>
      <c r="E472" t="s">
        <v>830</v>
      </c>
      <c r="F472" s="4">
        <v>6.2896245037670176E-2</v>
      </c>
      <c r="G472" s="1">
        <f>AVERAGE(F472:F474)</f>
        <v>0.11124057692238908</v>
      </c>
      <c r="H472">
        <f>_xlfn.STDEV.P(F472:F474)</f>
        <v>4.3432375891286394E-2</v>
      </c>
      <c r="I472" t="s">
        <v>788</v>
      </c>
    </row>
    <row r="473" spans="2:9" x14ac:dyDescent="0.3">
      <c r="B473" s="29" t="s">
        <v>18</v>
      </c>
      <c r="C473" s="16" t="s">
        <v>33</v>
      </c>
      <c r="D473" s="4" t="s">
        <v>831</v>
      </c>
      <c r="E473" t="s">
        <v>832</v>
      </c>
      <c r="F473" s="4">
        <v>0.16822548572949705</v>
      </c>
      <c r="I473" t="s">
        <v>833</v>
      </c>
    </row>
    <row r="474" spans="2:9" x14ac:dyDescent="0.3">
      <c r="B474" s="29" t="s">
        <v>18</v>
      </c>
      <c r="C474" s="6" t="s">
        <v>33</v>
      </c>
      <c r="D474" s="4" t="s">
        <v>834</v>
      </c>
      <c r="E474" t="s">
        <v>822</v>
      </c>
      <c r="F474" s="4">
        <v>0.10259999999999998</v>
      </c>
      <c r="I474" t="s">
        <v>835</v>
      </c>
    </row>
    <row r="475" spans="2:9" x14ac:dyDescent="0.3">
      <c r="B475" s="29" t="s">
        <v>18</v>
      </c>
      <c r="C475" s="16" t="s">
        <v>326</v>
      </c>
      <c r="D475" s="4">
        <v>0.15733283407144444</v>
      </c>
      <c r="E475" t="s">
        <v>458</v>
      </c>
      <c r="F475" s="4">
        <v>7.8666417035722219E-2</v>
      </c>
      <c r="G475" s="1">
        <f>F475</f>
        <v>7.8666417035722219E-2</v>
      </c>
      <c r="I475" s="12" t="s">
        <v>86</v>
      </c>
    </row>
    <row r="476" spans="2:9" x14ac:dyDescent="0.3">
      <c r="B476" s="29" t="s">
        <v>18</v>
      </c>
      <c r="C476" s="16" t="s">
        <v>6</v>
      </c>
      <c r="D476" s="4">
        <v>0.65105487414141416</v>
      </c>
      <c r="E476" t="s">
        <v>458</v>
      </c>
      <c r="F476" s="4">
        <v>0.32552743707070708</v>
      </c>
      <c r="G476" s="1">
        <f>F476</f>
        <v>0.32552743707070708</v>
      </c>
      <c r="I476" s="12" t="s">
        <v>86</v>
      </c>
    </row>
    <row r="477" spans="2:9" x14ac:dyDescent="0.3">
      <c r="B477" s="29" t="s">
        <v>18</v>
      </c>
      <c r="C477" s="8" t="s">
        <v>339</v>
      </c>
      <c r="D477" s="4">
        <v>0.29699999999999999</v>
      </c>
      <c r="E477" t="s">
        <v>836</v>
      </c>
      <c r="F477" s="4">
        <v>0.29699999999999999</v>
      </c>
      <c r="G477" s="1">
        <f>AVERAGE(F477:F481)</f>
        <v>0.26755260000000003</v>
      </c>
      <c r="H477">
        <f>_xlfn.STDEV.P(F477:F481)</f>
        <v>5.3907612329243494E-2</v>
      </c>
      <c r="I477" s="9" t="s">
        <v>837</v>
      </c>
    </row>
    <row r="478" spans="2:9" ht="15" customHeight="1" x14ac:dyDescent="0.3">
      <c r="B478" s="29" t="s">
        <v>18</v>
      </c>
      <c r="C478" s="8"/>
      <c r="D478" s="4">
        <v>35.54</v>
      </c>
      <c r="E478" t="s">
        <v>838</v>
      </c>
      <c r="F478" s="4">
        <v>0.29076299999999999</v>
      </c>
      <c r="I478" s="9" t="s">
        <v>839</v>
      </c>
    </row>
    <row r="479" spans="2:9" ht="15" customHeight="1" x14ac:dyDescent="0.3">
      <c r="B479" s="29" t="s">
        <v>18</v>
      </c>
      <c r="C479" s="16"/>
      <c r="D479" s="4">
        <v>0.34</v>
      </c>
      <c r="E479" t="s">
        <v>840</v>
      </c>
      <c r="F479" s="4">
        <v>0.34</v>
      </c>
      <c r="I479" s="9" t="s">
        <v>841</v>
      </c>
    </row>
    <row r="480" spans="2:9" ht="15" customHeight="1" x14ac:dyDescent="0.3">
      <c r="B480" s="29" t="s">
        <v>18</v>
      </c>
      <c r="C480" s="16"/>
      <c r="D480" s="4">
        <v>0.21</v>
      </c>
      <c r="E480" t="s">
        <v>840</v>
      </c>
      <c r="F480" s="4">
        <v>0.21</v>
      </c>
      <c r="I480" s="9" t="s">
        <v>842</v>
      </c>
    </row>
    <row r="481" spans="1:28" ht="15" customHeight="1" x14ac:dyDescent="0.3">
      <c r="B481" s="29" t="s">
        <v>18</v>
      </c>
      <c r="C481" s="16"/>
      <c r="D481" s="4">
        <v>0.2</v>
      </c>
      <c r="E481" t="s">
        <v>840</v>
      </c>
      <c r="F481" s="4">
        <v>0.2</v>
      </c>
      <c r="I481" s="9" t="s">
        <v>839</v>
      </c>
    </row>
    <row r="482" spans="1:28" x14ac:dyDescent="0.3">
      <c r="A482" s="13"/>
      <c r="B482" s="29" t="s">
        <v>18</v>
      </c>
      <c r="C482" t="s">
        <v>7</v>
      </c>
      <c r="D482" s="4">
        <f>[1]rapeseed!$E$194</f>
        <v>0.14868085333333333</v>
      </c>
      <c r="E482" t="s">
        <v>458</v>
      </c>
      <c r="F482" s="4">
        <v>7.4340426666666667E-2</v>
      </c>
      <c r="G482" s="1">
        <f>F482</f>
        <v>7.4340426666666667E-2</v>
      </c>
      <c r="I482" s="12" t="s">
        <v>86</v>
      </c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</row>
    <row r="483" spans="1:28" ht="15" customHeight="1" x14ac:dyDescent="0.3">
      <c r="B483" s="29" t="s">
        <v>18</v>
      </c>
      <c r="C483" s="16" t="s">
        <v>354</v>
      </c>
      <c r="D483" s="4">
        <v>221</v>
      </c>
      <c r="E483" t="s">
        <v>838</v>
      </c>
      <c r="I483" s="9" t="s">
        <v>843</v>
      </c>
    </row>
    <row r="484" spans="1:28" ht="15" customHeight="1" x14ac:dyDescent="0.3">
      <c r="B484" s="30" t="s">
        <v>19</v>
      </c>
      <c r="C484" t="s">
        <v>5</v>
      </c>
      <c r="D484" s="4">
        <f>[1]corn!$E$667</f>
        <v>0.83801857122533963</v>
      </c>
      <c r="E484" t="s">
        <v>458</v>
      </c>
      <c r="F484" s="4">
        <v>0.41900928561266981</v>
      </c>
      <c r="G484" s="1">
        <f t="shared" ref="G484:G512" si="12">F484</f>
        <v>0.41900928561266981</v>
      </c>
      <c r="I484" s="12" t="s">
        <v>86</v>
      </c>
    </row>
    <row r="485" spans="1:28" ht="15" customHeight="1" x14ac:dyDescent="0.3">
      <c r="B485" s="30" t="s">
        <v>19</v>
      </c>
      <c r="C485" t="s">
        <v>44</v>
      </c>
      <c r="D485" s="4">
        <v>0.16069701234567899</v>
      </c>
      <c r="E485" t="s">
        <v>458</v>
      </c>
      <c r="F485" s="4">
        <v>8.0348506172839493E-2</v>
      </c>
      <c r="G485" s="1">
        <f t="shared" si="12"/>
        <v>8.0348506172839493E-2</v>
      </c>
      <c r="I485" s="12" t="s">
        <v>86</v>
      </c>
    </row>
    <row r="486" spans="1:28" x14ac:dyDescent="0.3">
      <c r="B486" s="30" t="s">
        <v>19</v>
      </c>
      <c r="C486" t="s">
        <v>49</v>
      </c>
      <c r="D486" s="4">
        <v>0.52225192098765427</v>
      </c>
      <c r="E486" t="s">
        <v>458</v>
      </c>
      <c r="F486" s="4">
        <v>0.26112596049382714</v>
      </c>
      <c r="G486" s="1">
        <f t="shared" si="12"/>
        <v>0.26112596049382714</v>
      </c>
      <c r="I486" s="12" t="s">
        <v>86</v>
      </c>
    </row>
    <row r="487" spans="1:28" x14ac:dyDescent="0.3">
      <c r="B487" s="30" t="s">
        <v>19</v>
      </c>
      <c r="C487" s="8" t="s">
        <v>53</v>
      </c>
      <c r="D487" s="4">
        <f>[1]Wheat!$E$705</f>
        <v>0.68128046518518504</v>
      </c>
      <c r="E487" t="s">
        <v>458</v>
      </c>
      <c r="F487" s="4">
        <v>0.34064023259259252</v>
      </c>
      <c r="G487" s="1">
        <f t="shared" si="12"/>
        <v>0.34064023259259252</v>
      </c>
      <c r="I487" s="12" t="s">
        <v>86</v>
      </c>
    </row>
    <row r="488" spans="1:28" x14ac:dyDescent="0.3">
      <c r="B488" s="30" t="s">
        <v>19</v>
      </c>
      <c r="C488" t="s">
        <v>67</v>
      </c>
      <c r="D488" s="4">
        <f>[1]Wheat!$E$712</f>
        <v>0.3353193165432099</v>
      </c>
      <c r="E488" t="s">
        <v>458</v>
      </c>
      <c r="F488" s="4">
        <v>0.16765965827160495</v>
      </c>
      <c r="G488" s="1">
        <f t="shared" si="12"/>
        <v>0.16765965827160495</v>
      </c>
      <c r="I488" s="12" t="s">
        <v>86</v>
      </c>
    </row>
    <row r="489" spans="1:28" x14ac:dyDescent="0.3">
      <c r="B489" s="30" t="s">
        <v>19</v>
      </c>
      <c r="C489" t="s">
        <v>84</v>
      </c>
      <c r="D489" s="4">
        <f>[1]Wheat!$E$719</f>
        <v>0.40235751111111107</v>
      </c>
      <c r="E489" t="s">
        <v>458</v>
      </c>
      <c r="F489" s="4">
        <v>0.20117875555555553</v>
      </c>
      <c r="G489" s="1">
        <f t="shared" si="12"/>
        <v>0.20117875555555553</v>
      </c>
      <c r="I489" s="12" t="s">
        <v>86</v>
      </c>
    </row>
    <row r="490" spans="1:28" x14ac:dyDescent="0.3">
      <c r="B490" s="30" t="s">
        <v>19</v>
      </c>
      <c r="C490" t="s">
        <v>3</v>
      </c>
      <c r="D490" s="4">
        <v>0.15391787539961016</v>
      </c>
      <c r="E490" t="s">
        <v>458</v>
      </c>
      <c r="F490" s="4">
        <v>7.695893769980508E-2</v>
      </c>
      <c r="G490" s="1">
        <f t="shared" si="12"/>
        <v>7.695893769980508E-2</v>
      </c>
      <c r="I490" s="12" t="s">
        <v>86</v>
      </c>
    </row>
    <row r="491" spans="1:28" x14ac:dyDescent="0.3">
      <c r="B491" s="30" t="s">
        <v>19</v>
      </c>
      <c r="C491" t="s">
        <v>8</v>
      </c>
      <c r="D491" s="4">
        <f>[1]Tomato!$E$150</f>
        <v>3.0639393538016896E-2</v>
      </c>
      <c r="E491" t="s">
        <v>458</v>
      </c>
      <c r="F491" s="4">
        <v>1.5319696769008448E-2</v>
      </c>
      <c r="G491" s="1">
        <f t="shared" si="12"/>
        <v>1.5319696769008448E-2</v>
      </c>
      <c r="I491" s="12" t="s">
        <v>86</v>
      </c>
    </row>
    <row r="492" spans="1:28" x14ac:dyDescent="0.3">
      <c r="B492" s="30" t="s">
        <v>19</v>
      </c>
      <c r="C492" t="s">
        <v>101</v>
      </c>
      <c r="D492" s="4">
        <f>[1]Tomato!$E$157</f>
        <v>7.5794978518518519E-2</v>
      </c>
      <c r="E492" t="s">
        <v>458</v>
      </c>
      <c r="F492" s="4">
        <v>3.7897489259259259E-2</v>
      </c>
      <c r="G492" s="1">
        <f t="shared" si="12"/>
        <v>3.7897489259259259E-2</v>
      </c>
      <c r="I492" s="12" t="s">
        <v>86</v>
      </c>
    </row>
    <row r="493" spans="1:28" x14ac:dyDescent="0.3">
      <c r="B493" s="30" t="s">
        <v>19</v>
      </c>
      <c r="C493" s="8" t="s">
        <v>105</v>
      </c>
      <c r="D493" s="4">
        <f>[1]Sugarcane!$E$854</f>
        <v>0.26094374846087071</v>
      </c>
      <c r="E493" t="s">
        <v>458</v>
      </c>
      <c r="F493" s="4">
        <v>0.13047187423043535</v>
      </c>
      <c r="G493" s="1">
        <f t="shared" si="12"/>
        <v>0.13047187423043535</v>
      </c>
      <c r="I493" s="12" t="s">
        <v>86</v>
      </c>
    </row>
    <row r="494" spans="1:28" x14ac:dyDescent="0.3">
      <c r="B494" s="30" t="s">
        <v>19</v>
      </c>
      <c r="C494" s="8" t="s">
        <v>119</v>
      </c>
      <c r="D494" s="4">
        <f>[1]Sugarcane!$E$861</f>
        <v>0.6238383582182716</v>
      </c>
      <c r="E494" t="s">
        <v>458</v>
      </c>
      <c r="F494" s="4">
        <v>0.3119191791091358</v>
      </c>
      <c r="G494" s="1">
        <f t="shared" si="12"/>
        <v>0.3119191791091358</v>
      </c>
      <c r="I494" s="12" t="s">
        <v>86</v>
      </c>
    </row>
    <row r="495" spans="1:28" x14ac:dyDescent="0.3">
      <c r="B495" s="30" t="s">
        <v>19</v>
      </c>
      <c r="C495" s="8" t="s">
        <v>133</v>
      </c>
      <c r="D495" s="4" t="s">
        <v>844</v>
      </c>
      <c r="E495" t="s">
        <v>845</v>
      </c>
      <c r="F495" s="4">
        <v>5.9622180451127819E-2</v>
      </c>
      <c r="G495" s="1">
        <f t="shared" si="12"/>
        <v>5.9622180451127819E-2</v>
      </c>
      <c r="H495">
        <v>0</v>
      </c>
      <c r="I495" t="s">
        <v>846</v>
      </c>
    </row>
    <row r="496" spans="1:28" x14ac:dyDescent="0.3">
      <c r="B496" s="30" t="s">
        <v>19</v>
      </c>
      <c r="C496" t="s">
        <v>4</v>
      </c>
      <c r="D496" s="4">
        <f>'[1]Sugar Beet'!$E$659</f>
        <v>0.16899615743678753</v>
      </c>
      <c r="E496" t="s">
        <v>458</v>
      </c>
      <c r="F496" s="4">
        <v>8.4498078718393765E-2</v>
      </c>
      <c r="G496" s="1">
        <f t="shared" si="12"/>
        <v>8.4498078718393765E-2</v>
      </c>
      <c r="I496" s="12" t="s">
        <v>86</v>
      </c>
    </row>
    <row r="497" spans="2:10" x14ac:dyDescent="0.3">
      <c r="B497" s="30" t="s">
        <v>19</v>
      </c>
      <c r="C497" t="s">
        <v>165</v>
      </c>
      <c r="D497" s="4">
        <f>'[1]Sugar Beet'!$E$667</f>
        <v>0.42494493997312432</v>
      </c>
      <c r="E497" t="s">
        <v>458</v>
      </c>
      <c r="F497" s="4">
        <v>0.21247246998656216</v>
      </c>
      <c r="G497" s="1">
        <f t="shared" si="12"/>
        <v>0.21247246998656216</v>
      </c>
      <c r="I497" s="12" t="s">
        <v>86</v>
      </c>
      <c r="J497" t="s">
        <v>847</v>
      </c>
    </row>
    <row r="498" spans="2:10" x14ac:dyDescent="0.3">
      <c r="B498" s="30" t="s">
        <v>19</v>
      </c>
      <c r="C498" t="s">
        <v>181</v>
      </c>
      <c r="D498" s="4">
        <f>'[1]Sugar Beet'!$E$675</f>
        <v>0.28843565429395707</v>
      </c>
      <c r="E498" t="s">
        <v>458</v>
      </c>
      <c r="F498" s="4">
        <v>0.14421782714697853</v>
      </c>
      <c r="G498" s="1">
        <f t="shared" si="12"/>
        <v>0.14421782714697853</v>
      </c>
      <c r="I498" s="12" t="s">
        <v>86</v>
      </c>
    </row>
    <row r="499" spans="2:10" x14ac:dyDescent="0.3">
      <c r="B499" s="30" t="s">
        <v>19</v>
      </c>
      <c r="C499" s="8" t="s">
        <v>198</v>
      </c>
      <c r="D499" s="4">
        <v>0.79573096296296297</v>
      </c>
      <c r="E499" t="s">
        <v>458</v>
      </c>
      <c r="F499" s="4">
        <v>0.39786548148148149</v>
      </c>
      <c r="G499" s="1">
        <f t="shared" si="12"/>
        <v>0.39786548148148149</v>
      </c>
      <c r="I499" s="12" t="s">
        <v>86</v>
      </c>
    </row>
    <row r="500" spans="2:10" x14ac:dyDescent="0.3">
      <c r="B500" s="30" t="s">
        <v>19</v>
      </c>
      <c r="C500" s="8" t="s">
        <v>209</v>
      </c>
      <c r="D500" s="4">
        <v>0.33771579684920311</v>
      </c>
      <c r="E500" t="s">
        <v>458</v>
      </c>
      <c r="F500" s="4">
        <v>0.16885789842460155</v>
      </c>
      <c r="G500" s="1">
        <f t="shared" si="12"/>
        <v>0.16885789842460155</v>
      </c>
      <c r="I500" s="12" t="s">
        <v>86</v>
      </c>
    </row>
    <row r="501" spans="2:10" x14ac:dyDescent="0.3">
      <c r="B501" s="30" t="s">
        <v>19</v>
      </c>
      <c r="C501" s="16" t="s">
        <v>221</v>
      </c>
      <c r="D501" s="4">
        <v>0.19074636011643925</v>
      </c>
      <c r="E501" t="s">
        <v>458</v>
      </c>
      <c r="F501" s="4">
        <v>9.5373180058219625E-2</v>
      </c>
      <c r="G501" s="1">
        <f t="shared" si="12"/>
        <v>9.5373180058219625E-2</v>
      </c>
      <c r="I501" s="12" t="s">
        <v>86</v>
      </c>
    </row>
    <row r="502" spans="2:10" x14ac:dyDescent="0.3">
      <c r="B502" s="30" t="s">
        <v>19</v>
      </c>
      <c r="C502" s="16" t="s">
        <v>9</v>
      </c>
      <c r="D502" s="4">
        <v>0.13422071286902143</v>
      </c>
      <c r="E502" t="s">
        <v>458</v>
      </c>
      <c r="F502" s="4">
        <v>6.7110356434510715E-2</v>
      </c>
      <c r="G502" s="1">
        <f t="shared" si="12"/>
        <v>6.7110356434510715E-2</v>
      </c>
      <c r="I502" s="12" t="s">
        <v>86</v>
      </c>
    </row>
    <row r="503" spans="2:10" ht="15" customHeight="1" x14ac:dyDescent="0.3">
      <c r="B503" s="30" t="s">
        <v>19</v>
      </c>
      <c r="C503" s="16" t="s">
        <v>246</v>
      </c>
      <c r="D503" s="4">
        <v>0.55001694222222219</v>
      </c>
      <c r="E503" t="s">
        <v>458</v>
      </c>
      <c r="F503" s="4">
        <v>0.2750084711111111</v>
      </c>
      <c r="G503" s="1">
        <f t="shared" si="12"/>
        <v>0.2750084711111111</v>
      </c>
      <c r="I503" s="12" t="s">
        <v>86</v>
      </c>
    </row>
    <row r="504" spans="2:10" x14ac:dyDescent="0.3">
      <c r="B504" s="30" t="s">
        <v>19</v>
      </c>
      <c r="C504" s="16" t="s">
        <v>257</v>
      </c>
      <c r="D504" s="4">
        <v>8.461565286549709E-2</v>
      </c>
      <c r="E504" t="s">
        <v>458</v>
      </c>
      <c r="F504" s="4">
        <v>4.2307826432748545E-2</v>
      </c>
      <c r="G504" s="1">
        <f t="shared" si="12"/>
        <v>4.2307826432748545E-2</v>
      </c>
      <c r="I504" s="12" t="s">
        <v>86</v>
      </c>
    </row>
    <row r="505" spans="2:10" x14ac:dyDescent="0.3">
      <c r="B505" s="30" t="s">
        <v>19</v>
      </c>
      <c r="C505" s="16" t="s">
        <v>272</v>
      </c>
      <c r="D505" s="4">
        <v>0.15167929100974659</v>
      </c>
      <c r="E505" t="s">
        <v>458</v>
      </c>
      <c r="F505" s="4">
        <v>7.5839645504873293E-2</v>
      </c>
      <c r="G505" s="1">
        <f t="shared" si="12"/>
        <v>7.5839645504873293E-2</v>
      </c>
      <c r="I505" s="12" t="s">
        <v>86</v>
      </c>
    </row>
    <row r="506" spans="2:10" x14ac:dyDescent="0.3">
      <c r="B506" s="30" t="s">
        <v>19</v>
      </c>
      <c r="C506" s="16" t="s">
        <v>280</v>
      </c>
      <c r="D506" s="4">
        <v>0.15757904842105266</v>
      </c>
      <c r="E506" t="s">
        <v>458</v>
      </c>
      <c r="F506" s="4">
        <v>7.8789524210526332E-2</v>
      </c>
      <c r="G506" s="1">
        <f t="shared" si="12"/>
        <v>7.8789524210526332E-2</v>
      </c>
      <c r="I506" s="12" t="s">
        <v>86</v>
      </c>
    </row>
    <row r="507" spans="2:10" x14ac:dyDescent="0.3">
      <c r="B507" s="30" t="s">
        <v>19</v>
      </c>
      <c r="C507" s="16" t="s">
        <v>293</v>
      </c>
      <c r="D507" s="4">
        <v>0.24544663802469133</v>
      </c>
      <c r="E507" t="s">
        <v>458</v>
      </c>
      <c r="F507" s="4">
        <v>0.12272331901234566</v>
      </c>
      <c r="G507" s="1">
        <f t="shared" si="12"/>
        <v>0.12272331901234566</v>
      </c>
      <c r="I507" s="12" t="s">
        <v>86</v>
      </c>
    </row>
    <row r="508" spans="2:10" x14ac:dyDescent="0.3">
      <c r="B508" s="30" t="s">
        <v>19</v>
      </c>
      <c r="C508" s="16" t="s">
        <v>306</v>
      </c>
      <c r="D508" s="4">
        <v>0.11292570955030123</v>
      </c>
      <c r="E508" t="s">
        <v>458</v>
      </c>
      <c r="F508" s="4">
        <v>5.6462854775150617E-2</v>
      </c>
      <c r="G508" s="1">
        <f t="shared" si="12"/>
        <v>5.6462854775150617E-2</v>
      </c>
      <c r="I508" s="12" t="s">
        <v>86</v>
      </c>
    </row>
    <row r="509" spans="2:10" ht="15" customHeight="1" x14ac:dyDescent="0.3">
      <c r="B509" s="30" t="s">
        <v>19</v>
      </c>
      <c r="C509" s="16" t="s">
        <v>312</v>
      </c>
      <c r="D509" s="4">
        <v>0.20571959498470674</v>
      </c>
      <c r="E509" t="s">
        <v>458</v>
      </c>
      <c r="F509" s="4">
        <v>0.10285979749235337</v>
      </c>
      <c r="G509" s="1">
        <f t="shared" si="12"/>
        <v>0.10285979749235337</v>
      </c>
      <c r="I509" s="12" t="s">
        <v>86</v>
      </c>
    </row>
    <row r="510" spans="2:10" x14ac:dyDescent="0.3">
      <c r="B510" s="30" t="s">
        <v>19</v>
      </c>
      <c r="C510" s="16" t="s">
        <v>326</v>
      </c>
      <c r="D510" s="4">
        <v>0.19542111540686863</v>
      </c>
      <c r="E510" t="s">
        <v>458</v>
      </c>
      <c r="F510" s="4">
        <v>9.7710557703434314E-2</v>
      </c>
      <c r="G510" s="1">
        <f t="shared" si="12"/>
        <v>9.7710557703434314E-2</v>
      </c>
      <c r="I510" s="12" t="s">
        <v>86</v>
      </c>
    </row>
    <row r="511" spans="2:10" x14ac:dyDescent="0.3">
      <c r="B511" s="30" t="s">
        <v>19</v>
      </c>
      <c r="C511" s="16" t="s">
        <v>6</v>
      </c>
      <c r="D511" s="4">
        <v>0.69008383564860298</v>
      </c>
      <c r="E511" t="s">
        <v>458</v>
      </c>
      <c r="F511" s="4">
        <v>0.34504191782430149</v>
      </c>
      <c r="G511" s="1">
        <f t="shared" si="12"/>
        <v>0.34504191782430149</v>
      </c>
      <c r="I511" s="12" t="s">
        <v>86</v>
      </c>
    </row>
    <row r="512" spans="2:10" x14ac:dyDescent="0.3">
      <c r="B512" s="30" t="s">
        <v>19</v>
      </c>
      <c r="C512" s="8" t="s">
        <v>339</v>
      </c>
      <c r="D512" s="4">
        <v>0.28667070883274853</v>
      </c>
      <c r="E512" t="s">
        <v>458</v>
      </c>
      <c r="F512" s="4">
        <v>0.14333535441637427</v>
      </c>
      <c r="G512" s="1">
        <f t="shared" si="12"/>
        <v>0.14333535441637427</v>
      </c>
      <c r="I512" s="12" t="s">
        <v>86</v>
      </c>
    </row>
    <row r="513" spans="1:28" x14ac:dyDescent="0.3">
      <c r="A513" s="13"/>
      <c r="B513" s="30" t="s">
        <v>19</v>
      </c>
      <c r="C513" t="s">
        <v>7</v>
      </c>
      <c r="D513" s="4">
        <f>[1]rapeseed!$E$204</f>
        <v>5.1979200000000003E-2</v>
      </c>
      <c r="E513" t="s">
        <v>458</v>
      </c>
      <c r="F513" s="4">
        <v>2.5989600000000002E-2</v>
      </c>
      <c r="G513" s="1">
        <f>F513</f>
        <v>2.5989600000000002E-2</v>
      </c>
      <c r="I513" s="12" t="s">
        <v>86</v>
      </c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</row>
    <row r="514" spans="1:28" ht="15" customHeight="1" x14ac:dyDescent="0.3">
      <c r="B514" s="30" t="s">
        <v>19</v>
      </c>
      <c r="C514" s="16" t="s">
        <v>354</v>
      </c>
      <c r="D514" s="4">
        <f>[1]rapeseed!$E$211</f>
        <v>0.14908008895802469</v>
      </c>
      <c r="E514" t="s">
        <v>458</v>
      </c>
      <c r="F514" s="4">
        <v>7.4540044479012343E-2</v>
      </c>
      <c r="G514" s="1">
        <f>F514</f>
        <v>7.4540044479012343E-2</v>
      </c>
      <c r="I514" s="12" t="s">
        <v>86</v>
      </c>
    </row>
    <row r="515" spans="1:28" x14ac:dyDescent="0.3">
      <c r="B515" s="31" t="s">
        <v>20</v>
      </c>
      <c r="C515" s="8" t="s">
        <v>5</v>
      </c>
      <c r="D515" s="4">
        <v>0.42</v>
      </c>
      <c r="E515" t="s">
        <v>848</v>
      </c>
      <c r="F515" s="4">
        <v>1.4959717171717171E-2</v>
      </c>
      <c r="G515" s="1">
        <f>AVERAGE(F515:F519)</f>
        <v>3.2671322433221101E-2</v>
      </c>
      <c r="H515">
        <f>_xlfn.STDEV.P(F515:F519)</f>
        <v>1.7684498815029606E-2</v>
      </c>
      <c r="I515" t="s">
        <v>849</v>
      </c>
    </row>
    <row r="516" spans="1:28" ht="15" customHeight="1" x14ac:dyDescent="0.3">
      <c r="B516" s="31" t="s">
        <v>20</v>
      </c>
      <c r="C516" s="8" t="s">
        <v>33</v>
      </c>
      <c r="D516" s="4" t="s">
        <v>850</v>
      </c>
      <c r="E516" t="s">
        <v>851</v>
      </c>
      <c r="F516" s="4">
        <v>3.7443034792368123E-2</v>
      </c>
      <c r="I516" t="s">
        <v>852</v>
      </c>
    </row>
    <row r="517" spans="1:28" x14ac:dyDescent="0.3">
      <c r="B517" s="31" t="s">
        <v>20</v>
      </c>
      <c r="C517" s="8" t="s">
        <v>33</v>
      </c>
      <c r="D517" s="4" t="s">
        <v>853</v>
      </c>
      <c r="E517" t="s">
        <v>854</v>
      </c>
      <c r="F517" s="4">
        <v>1.4303589225589226E-2</v>
      </c>
      <c r="I517" t="s">
        <v>855</v>
      </c>
      <c r="J517" t="s">
        <v>856</v>
      </c>
    </row>
    <row r="518" spans="1:28" x14ac:dyDescent="0.3">
      <c r="B518" s="31" t="s">
        <v>20</v>
      </c>
      <c r="C518" s="8" t="s">
        <v>33</v>
      </c>
      <c r="D518" s="4">
        <v>0.86839999999999995</v>
      </c>
      <c r="E518" t="s">
        <v>857</v>
      </c>
      <c r="F518" s="4">
        <v>3.4186890505050499E-2</v>
      </c>
      <c r="I518" t="s">
        <v>858</v>
      </c>
      <c r="J518" t="s">
        <v>859</v>
      </c>
    </row>
    <row r="519" spans="1:28" x14ac:dyDescent="0.3">
      <c r="B519" s="31" t="s">
        <v>20</v>
      </c>
      <c r="C519" s="8" t="s">
        <v>33</v>
      </c>
      <c r="D519" s="4" t="s">
        <v>860</v>
      </c>
      <c r="E519" t="s">
        <v>851</v>
      </c>
      <c r="F519" s="4">
        <v>6.2463380471380468E-2</v>
      </c>
      <c r="I519" t="s">
        <v>861</v>
      </c>
      <c r="J519" t="s">
        <v>862</v>
      </c>
    </row>
    <row r="520" spans="1:28" x14ac:dyDescent="0.3">
      <c r="B520" s="31" t="s">
        <v>20</v>
      </c>
      <c r="C520" t="s">
        <v>44</v>
      </c>
      <c r="D520" s="4">
        <v>0</v>
      </c>
      <c r="E520" t="s">
        <v>458</v>
      </c>
      <c r="F520" s="4">
        <v>0</v>
      </c>
      <c r="G520" s="1">
        <f>F520</f>
        <v>0</v>
      </c>
      <c r="I520" s="12" t="s">
        <v>86</v>
      </c>
      <c r="J520" t="s">
        <v>863</v>
      </c>
    </row>
    <row r="521" spans="1:28" x14ac:dyDescent="0.3">
      <c r="B521" s="31" t="s">
        <v>20</v>
      </c>
      <c r="C521" t="s">
        <v>49</v>
      </c>
      <c r="D521" s="4">
        <v>7.53159090909091E-2</v>
      </c>
      <c r="E521" t="s">
        <v>458</v>
      </c>
      <c r="F521" s="4">
        <v>3.765795454545455E-2</v>
      </c>
      <c r="G521" s="1">
        <f>F521</f>
        <v>3.765795454545455E-2</v>
      </c>
      <c r="I521" s="12" t="s">
        <v>86</v>
      </c>
      <c r="J521" t="s">
        <v>864</v>
      </c>
    </row>
    <row r="522" spans="1:28" x14ac:dyDescent="0.3">
      <c r="B522" s="31" t="s">
        <v>20</v>
      </c>
      <c r="C522" s="8" t="s">
        <v>53</v>
      </c>
      <c r="D522" s="4">
        <f>[1]Wheat!$E$749</f>
        <v>1.971244834710744E-2</v>
      </c>
      <c r="E522" t="s">
        <v>458</v>
      </c>
      <c r="F522" s="4">
        <v>9.8562241735537202E-3</v>
      </c>
      <c r="G522" s="1">
        <f>F522</f>
        <v>9.8562241735537202E-3</v>
      </c>
      <c r="I522" s="12" t="s">
        <v>86</v>
      </c>
    </row>
    <row r="523" spans="1:28" x14ac:dyDescent="0.3">
      <c r="B523" s="31" t="s">
        <v>20</v>
      </c>
      <c r="C523" s="8" t="s">
        <v>67</v>
      </c>
      <c r="D523" s="4">
        <v>300</v>
      </c>
      <c r="E523" t="s">
        <v>865</v>
      </c>
      <c r="F523" s="4">
        <v>2.0446666666666669E-2</v>
      </c>
      <c r="G523" s="1">
        <f>AVERAGE(F523:F525)</f>
        <v>6.9870101010101007E-2</v>
      </c>
      <c r="H523">
        <f>_xlfn.STDEV.P(F523:F525)</f>
        <v>3.6411644408145767E-2</v>
      </c>
      <c r="I523" t="s">
        <v>866</v>
      </c>
    </row>
    <row r="524" spans="1:28" x14ac:dyDescent="0.3">
      <c r="B524" s="31" t="s">
        <v>20</v>
      </c>
      <c r="C524" s="8"/>
      <c r="D524" s="4" t="s">
        <v>867</v>
      </c>
      <c r="E524" t="s">
        <v>868</v>
      </c>
      <c r="F524" s="4">
        <v>8.2063636363636366E-2</v>
      </c>
      <c r="I524" t="s">
        <v>869</v>
      </c>
      <c r="J524" t="s">
        <v>870</v>
      </c>
    </row>
    <row r="525" spans="1:28" x14ac:dyDescent="0.3">
      <c r="B525" s="31" t="s">
        <v>20</v>
      </c>
      <c r="C525" s="8"/>
      <c r="D525" s="4" t="s">
        <v>871</v>
      </c>
      <c r="E525" t="s">
        <v>872</v>
      </c>
      <c r="F525" s="4">
        <v>0.10709999999999999</v>
      </c>
      <c r="I525" t="s">
        <v>873</v>
      </c>
      <c r="J525" t="s">
        <v>874</v>
      </c>
    </row>
    <row r="526" spans="1:28" x14ac:dyDescent="0.3">
      <c r="B526" s="31" t="s">
        <v>20</v>
      </c>
      <c r="C526" t="s">
        <v>84</v>
      </c>
      <c r="D526" s="4">
        <v>0</v>
      </c>
      <c r="E526" t="s">
        <v>458</v>
      </c>
      <c r="F526" s="4">
        <v>0</v>
      </c>
      <c r="G526" s="1">
        <f t="shared" ref="G526:G529" si="13">F526</f>
        <v>0</v>
      </c>
      <c r="I526" s="12" t="s">
        <v>86</v>
      </c>
      <c r="J526" t="s">
        <v>875</v>
      </c>
    </row>
    <row r="527" spans="1:28" x14ac:dyDescent="0.3">
      <c r="B527" s="31" t="s">
        <v>20</v>
      </c>
      <c r="C527" t="s">
        <v>3</v>
      </c>
      <c r="D527">
        <v>9.7181818181818198E-4</v>
      </c>
      <c r="E527" t="s">
        <v>458</v>
      </c>
      <c r="F527" s="4">
        <v>4.8590909090909099E-4</v>
      </c>
      <c r="G527" s="1">
        <f t="shared" si="13"/>
        <v>4.8590909090909099E-4</v>
      </c>
      <c r="I527" s="12" t="s">
        <v>86</v>
      </c>
      <c r="J527" t="s">
        <v>876</v>
      </c>
    </row>
    <row r="528" spans="1:28" x14ac:dyDescent="0.3">
      <c r="B528" s="31" t="s">
        <v>20</v>
      </c>
      <c r="C528" s="8" t="s">
        <v>8</v>
      </c>
      <c r="D528" s="4">
        <f>[1]Tomato!$E$163</f>
        <v>4.4500438016528926E-4</v>
      </c>
      <c r="E528" t="s">
        <v>458</v>
      </c>
      <c r="F528" s="4">
        <v>2.2250219008264463E-4</v>
      </c>
      <c r="G528" s="1">
        <f t="shared" si="13"/>
        <v>2.2250219008264463E-4</v>
      </c>
      <c r="I528" s="12" t="s">
        <v>86</v>
      </c>
    </row>
    <row r="529" spans="2:11" x14ac:dyDescent="0.3">
      <c r="B529" s="31" t="s">
        <v>20</v>
      </c>
      <c r="C529" s="8" t="s">
        <v>101</v>
      </c>
      <c r="D529" s="4">
        <f>[1]Tomato!$E$170</f>
        <v>7.3341903409090917E-3</v>
      </c>
      <c r="E529" t="s">
        <v>458</v>
      </c>
      <c r="F529" s="4">
        <v>3.6670951704545459E-3</v>
      </c>
      <c r="G529" s="1">
        <f t="shared" si="13"/>
        <v>3.6670951704545459E-3</v>
      </c>
      <c r="I529" s="12" t="s">
        <v>86</v>
      </c>
    </row>
    <row r="530" spans="2:11" x14ac:dyDescent="0.3">
      <c r="B530" s="31" t="s">
        <v>20</v>
      </c>
      <c r="C530" s="8" t="s">
        <v>105</v>
      </c>
      <c r="D530" s="4" t="s">
        <v>877</v>
      </c>
      <c r="E530" t="s">
        <v>851</v>
      </c>
      <c r="F530" s="4">
        <v>2.0346782272727272E-2</v>
      </c>
      <c r="G530" s="1">
        <f>AVERAGE(F530:F534)</f>
        <v>2.060117827815091E-2</v>
      </c>
      <c r="H530">
        <f>_xlfn.STDEV.P(F530:F534)</f>
        <v>8.730238052868565E-3</v>
      </c>
      <c r="I530" t="s">
        <v>878</v>
      </c>
    </row>
    <row r="531" spans="2:11" x14ac:dyDescent="0.3">
      <c r="B531" s="31" t="s">
        <v>20</v>
      </c>
      <c r="C531" s="8" t="s">
        <v>33</v>
      </c>
      <c r="D531" s="4" t="s">
        <v>879</v>
      </c>
      <c r="E531" t="s">
        <v>880</v>
      </c>
      <c r="F531" s="4">
        <v>2.3522773118027276E-2</v>
      </c>
      <c r="I531" t="s">
        <v>881</v>
      </c>
    </row>
    <row r="532" spans="2:11" x14ac:dyDescent="0.3">
      <c r="B532" s="31" t="s">
        <v>20</v>
      </c>
      <c r="C532" s="8" t="s">
        <v>33</v>
      </c>
      <c r="D532" s="4" t="s">
        <v>882</v>
      </c>
      <c r="E532" t="s">
        <v>883</v>
      </c>
      <c r="F532" s="4">
        <v>4.2560241818181809E-3</v>
      </c>
      <c r="I532" t="s">
        <v>884</v>
      </c>
      <c r="J532" t="s">
        <v>885</v>
      </c>
    </row>
    <row r="533" spans="2:11" x14ac:dyDescent="0.3">
      <c r="B533" s="31" t="s">
        <v>20</v>
      </c>
      <c r="C533" s="8" t="s">
        <v>33</v>
      </c>
      <c r="D533" s="4" t="s">
        <v>886</v>
      </c>
      <c r="E533" t="s">
        <v>851</v>
      </c>
      <c r="F533" s="4">
        <v>2.9866836363636358E-2</v>
      </c>
      <c r="I533" t="s">
        <v>887</v>
      </c>
      <c r="J533" t="s">
        <v>888</v>
      </c>
    </row>
    <row r="534" spans="2:11" x14ac:dyDescent="0.3">
      <c r="B534" s="31" t="s">
        <v>20</v>
      </c>
      <c r="C534" s="8" t="s">
        <v>33</v>
      </c>
      <c r="D534" s="4">
        <v>0.67</v>
      </c>
      <c r="E534" t="s">
        <v>851</v>
      </c>
      <c r="F534" s="4">
        <v>2.5013475454545454E-2</v>
      </c>
      <c r="I534" t="s">
        <v>889</v>
      </c>
      <c r="J534" t="s">
        <v>890</v>
      </c>
      <c r="K534" t="s">
        <v>891</v>
      </c>
    </row>
    <row r="535" spans="2:11" x14ac:dyDescent="0.3">
      <c r="B535" s="31" t="s">
        <v>20</v>
      </c>
      <c r="C535" s="8" t="s">
        <v>119</v>
      </c>
      <c r="D535" s="4">
        <v>0.54</v>
      </c>
      <c r="E535" t="s">
        <v>851</v>
      </c>
      <c r="F535" s="4">
        <v>6.7554785454545463E-2</v>
      </c>
      <c r="G535" s="1">
        <f>AVERAGE(F535:F539)</f>
        <v>6.7085654999999994E-2</v>
      </c>
      <c r="H535">
        <f>_xlfn.STDEV.P(F535:F539)</f>
        <v>1.0729774611708513E-2</v>
      </c>
      <c r="I535" t="s">
        <v>892</v>
      </c>
      <c r="J535" t="s">
        <v>893</v>
      </c>
    </row>
    <row r="536" spans="2:11" x14ac:dyDescent="0.3">
      <c r="B536" s="31" t="s">
        <v>20</v>
      </c>
      <c r="C536" s="8" t="s">
        <v>33</v>
      </c>
      <c r="D536" s="4">
        <v>0.5</v>
      </c>
      <c r="E536" t="s">
        <v>851</v>
      </c>
      <c r="F536" s="4">
        <v>6.2550727272727272E-2</v>
      </c>
      <c r="I536" t="s">
        <v>894</v>
      </c>
      <c r="J536" t="s">
        <v>895</v>
      </c>
    </row>
    <row r="537" spans="2:11" x14ac:dyDescent="0.3">
      <c r="B537" s="31" t="s">
        <v>20</v>
      </c>
      <c r="C537" s="8" t="s">
        <v>33</v>
      </c>
      <c r="D537" s="4" t="s">
        <v>896</v>
      </c>
      <c r="E537" t="s">
        <v>851</v>
      </c>
      <c r="F537" s="4">
        <v>5.0196958636363635E-2</v>
      </c>
      <c r="I537" t="s">
        <v>897</v>
      </c>
      <c r="J537" t="s">
        <v>898</v>
      </c>
    </row>
    <row r="538" spans="2:11" x14ac:dyDescent="0.3">
      <c r="B538" s="31" t="s">
        <v>20</v>
      </c>
      <c r="C538" s="8" t="s">
        <v>33</v>
      </c>
      <c r="D538" s="4">
        <v>0.57999999999999996</v>
      </c>
      <c r="E538" t="s">
        <v>851</v>
      </c>
      <c r="F538" s="4">
        <v>7.2558843636363626E-2</v>
      </c>
      <c r="I538" t="s">
        <v>899</v>
      </c>
      <c r="J538" t="s">
        <v>900</v>
      </c>
    </row>
    <row r="539" spans="2:11" x14ac:dyDescent="0.3">
      <c r="B539" s="31" t="s">
        <v>20</v>
      </c>
      <c r="C539" s="8" t="s">
        <v>33</v>
      </c>
      <c r="D539" s="4">
        <v>0.66</v>
      </c>
      <c r="E539" t="s">
        <v>851</v>
      </c>
      <c r="F539" s="4">
        <v>8.2566960000000009E-2</v>
      </c>
      <c r="I539" t="s">
        <v>899</v>
      </c>
      <c r="J539" t="s">
        <v>901</v>
      </c>
    </row>
    <row r="540" spans="2:11" x14ac:dyDescent="0.3">
      <c r="B540" s="31" t="s">
        <v>20</v>
      </c>
      <c r="C540" s="8" t="s">
        <v>133</v>
      </c>
      <c r="D540">
        <f>[1]Sugarcane!$E$1049</f>
        <v>0</v>
      </c>
      <c r="E540" t="s">
        <v>458</v>
      </c>
      <c r="F540" s="4">
        <v>0</v>
      </c>
      <c r="G540" s="1">
        <f>F540</f>
        <v>0</v>
      </c>
      <c r="I540" s="12" t="s">
        <v>86</v>
      </c>
      <c r="J540" t="s">
        <v>902</v>
      </c>
      <c r="K540" t="s">
        <v>903</v>
      </c>
    </row>
    <row r="541" spans="2:11" x14ac:dyDescent="0.3">
      <c r="B541" s="31" t="s">
        <v>20</v>
      </c>
      <c r="C541" t="s">
        <v>4</v>
      </c>
      <c r="D541">
        <f>'[1]Sugar Beet'!$E$681</f>
        <v>5.3905429338842981E-5</v>
      </c>
      <c r="E541" t="s">
        <v>458</v>
      </c>
      <c r="F541" s="4">
        <v>2.695271466942149E-5</v>
      </c>
      <c r="G541" s="1">
        <f>F541</f>
        <v>2.695271466942149E-5</v>
      </c>
      <c r="I541" s="12" t="s">
        <v>86</v>
      </c>
      <c r="J541" t="s">
        <v>904</v>
      </c>
    </row>
    <row r="542" spans="2:11" x14ac:dyDescent="0.3">
      <c r="B542" s="31" t="s">
        <v>20</v>
      </c>
      <c r="C542" t="s">
        <v>165</v>
      </c>
      <c r="D542">
        <f>'[1]Sugar Beet'!$E$689</f>
        <v>4.7681774212534438E-3</v>
      </c>
      <c r="E542" t="s">
        <v>458</v>
      </c>
      <c r="F542" s="4">
        <v>2.3840887106267219E-3</v>
      </c>
      <c r="G542" s="1">
        <f t="shared" ref="G542:G543" si="14">F542</f>
        <v>2.3840887106267219E-3</v>
      </c>
      <c r="I542" s="12" t="s">
        <v>86</v>
      </c>
    </row>
    <row r="543" spans="2:11" x14ac:dyDescent="0.3">
      <c r="B543" s="31" t="s">
        <v>20</v>
      </c>
      <c r="C543" t="s">
        <v>181</v>
      </c>
      <c r="D543">
        <f>'[1]Sugar Beet'!$E$697</f>
        <v>2.5969411363636363E-3</v>
      </c>
      <c r="E543" t="s">
        <v>458</v>
      </c>
      <c r="F543" s="4">
        <v>1.2984705681818181E-3</v>
      </c>
      <c r="G543" s="1">
        <f t="shared" si="14"/>
        <v>1.2984705681818181E-3</v>
      </c>
      <c r="I543" s="12" t="s">
        <v>86</v>
      </c>
    </row>
    <row r="544" spans="2:11" x14ac:dyDescent="0.3">
      <c r="B544" s="31" t="s">
        <v>20</v>
      </c>
      <c r="C544" s="8" t="s">
        <v>198</v>
      </c>
      <c r="D544">
        <v>0</v>
      </c>
      <c r="E544" t="s">
        <v>458</v>
      </c>
      <c r="F544" s="4">
        <v>0</v>
      </c>
      <c r="G544" s="1">
        <f>F544</f>
        <v>0</v>
      </c>
      <c r="I544" s="12" t="s">
        <v>86</v>
      </c>
    </row>
    <row r="545" spans="2:9" x14ac:dyDescent="0.3">
      <c r="B545" s="31" t="s">
        <v>20</v>
      </c>
      <c r="C545" s="8" t="s">
        <v>209</v>
      </c>
      <c r="D545" s="4" t="s">
        <v>905</v>
      </c>
      <c r="E545" t="s">
        <v>906</v>
      </c>
      <c r="F545" s="4">
        <v>4.5718400000000006E-2</v>
      </c>
      <c r="G545" s="1">
        <f>AVERAGE(F545:F546)</f>
        <v>6.0687279545454546E-2</v>
      </c>
      <c r="H545">
        <f>_xlfn.STDEV.P(F545:F546)</f>
        <v>1.496887954545454E-2</v>
      </c>
      <c r="I545" t="s">
        <v>907</v>
      </c>
    </row>
    <row r="546" spans="2:9" x14ac:dyDescent="0.3">
      <c r="B546" s="31" t="s">
        <v>20</v>
      </c>
      <c r="C546" s="8" t="s">
        <v>33</v>
      </c>
      <c r="D546" s="4">
        <v>7.5656159090909086E-2</v>
      </c>
      <c r="E546" t="s">
        <v>908</v>
      </c>
      <c r="F546" s="4">
        <v>7.5656159090909086E-2</v>
      </c>
      <c r="I546" t="s">
        <v>909</v>
      </c>
    </row>
    <row r="547" spans="2:9" x14ac:dyDescent="0.3">
      <c r="B547" s="31" t="s">
        <v>20</v>
      </c>
      <c r="C547" s="16" t="s">
        <v>221</v>
      </c>
      <c r="D547" s="4">
        <v>3.2774181663223149E-2</v>
      </c>
      <c r="E547" t="s">
        <v>458</v>
      </c>
      <c r="F547" s="4">
        <v>1.6387090831611575E-2</v>
      </c>
      <c r="G547" s="1">
        <f>F547</f>
        <v>1.6387090831611575E-2</v>
      </c>
      <c r="I547" s="12" t="s">
        <v>86</v>
      </c>
    </row>
    <row r="548" spans="2:9" x14ac:dyDescent="0.3">
      <c r="B548" s="31" t="s">
        <v>20</v>
      </c>
      <c r="C548" s="16" t="s">
        <v>9</v>
      </c>
      <c r="D548" s="4">
        <v>1.2354238636363637E-4</v>
      </c>
      <c r="E548" t="s">
        <v>458</v>
      </c>
      <c r="F548" s="4">
        <v>6.1771193181818187E-5</v>
      </c>
      <c r="G548" s="1">
        <f t="shared" ref="G548:G558" si="15">F548</f>
        <v>6.1771193181818187E-5</v>
      </c>
      <c r="I548" s="12" t="s">
        <v>86</v>
      </c>
    </row>
    <row r="549" spans="2:9" ht="15" customHeight="1" x14ac:dyDescent="0.3">
      <c r="B549" s="31" t="s">
        <v>20</v>
      </c>
      <c r="C549" s="16" t="s">
        <v>246</v>
      </c>
      <c r="D549" s="4">
        <v>4.9810540909090907E-2</v>
      </c>
      <c r="E549" t="s">
        <v>458</v>
      </c>
      <c r="F549" s="4">
        <v>2.4905270454545454E-2</v>
      </c>
      <c r="G549" s="1">
        <f t="shared" si="15"/>
        <v>2.4905270454545454E-2</v>
      </c>
      <c r="I549" s="12" t="s">
        <v>86</v>
      </c>
    </row>
    <row r="550" spans="2:9" x14ac:dyDescent="0.3">
      <c r="B550" s="31" t="s">
        <v>20</v>
      </c>
      <c r="C550" s="16" t="s">
        <v>257</v>
      </c>
      <c r="D550" s="4">
        <v>1.3848409090909094E-2</v>
      </c>
      <c r="E550" t="s">
        <v>458</v>
      </c>
      <c r="F550" s="4">
        <v>6.9242045454545468E-3</v>
      </c>
      <c r="G550" s="1">
        <f t="shared" si="15"/>
        <v>6.9242045454545468E-3</v>
      </c>
      <c r="I550" s="12" t="s">
        <v>86</v>
      </c>
    </row>
    <row r="551" spans="2:9" x14ac:dyDescent="0.3">
      <c r="B551" s="31" t="s">
        <v>20</v>
      </c>
      <c r="C551" s="16" t="s">
        <v>272</v>
      </c>
      <c r="D551" s="4">
        <v>0</v>
      </c>
      <c r="E551" t="s">
        <v>458</v>
      </c>
      <c r="F551" s="4">
        <v>0</v>
      </c>
      <c r="G551" s="1">
        <f t="shared" si="15"/>
        <v>0</v>
      </c>
      <c r="I551" s="12" t="s">
        <v>86</v>
      </c>
    </row>
    <row r="552" spans="2:9" x14ac:dyDescent="0.3">
      <c r="B552" s="31" t="s">
        <v>20</v>
      </c>
      <c r="C552" s="16" t="s">
        <v>280</v>
      </c>
      <c r="D552" s="4">
        <v>0</v>
      </c>
      <c r="E552" t="s">
        <v>458</v>
      </c>
      <c r="F552" s="4">
        <v>0</v>
      </c>
      <c r="G552" s="1">
        <f t="shared" si="15"/>
        <v>0</v>
      </c>
      <c r="I552" s="12" t="s">
        <v>86</v>
      </c>
    </row>
    <row r="553" spans="2:9" x14ac:dyDescent="0.3">
      <c r="B553" s="31" t="s">
        <v>20</v>
      </c>
      <c r="C553" s="16" t="s">
        <v>293</v>
      </c>
      <c r="D553" s="4">
        <v>0.06</v>
      </c>
      <c r="E553" t="s">
        <v>910</v>
      </c>
      <c r="F553" s="4">
        <v>1.4221363636363636E-2</v>
      </c>
      <c r="G553" s="1">
        <f>AVERAGE(F553:F554)</f>
        <v>3.59035563016529E-2</v>
      </c>
      <c r="H553">
        <f>_xlfn.STDEV.P(F553:F554)</f>
        <v>2.1682192665289254E-2</v>
      </c>
      <c r="I553" t="s">
        <v>911</v>
      </c>
    </row>
    <row r="554" spans="2:9" x14ac:dyDescent="0.3">
      <c r="B554" s="31" t="s">
        <v>20</v>
      </c>
      <c r="C554" s="6" t="s">
        <v>33</v>
      </c>
      <c r="D554" s="4">
        <v>0.11517149793388431</v>
      </c>
      <c r="E554" t="s">
        <v>458</v>
      </c>
      <c r="F554" s="4">
        <v>5.7585748966942157E-2</v>
      </c>
      <c r="I554" s="12" t="s">
        <v>86</v>
      </c>
    </row>
    <row r="555" spans="2:9" x14ac:dyDescent="0.3">
      <c r="B555" s="31" t="s">
        <v>20</v>
      </c>
      <c r="C555" s="16" t="s">
        <v>306</v>
      </c>
      <c r="D555" s="4">
        <v>1.0142247933884302E-3</v>
      </c>
      <c r="E555" t="s">
        <v>458</v>
      </c>
      <c r="F555" s="4">
        <v>5.0711239669421512E-4</v>
      </c>
      <c r="G555" s="1">
        <f t="shared" si="15"/>
        <v>5.0711239669421512E-4</v>
      </c>
      <c r="I555" s="12" t="s">
        <v>86</v>
      </c>
    </row>
    <row r="556" spans="2:9" ht="15" customHeight="1" x14ac:dyDescent="0.3">
      <c r="B556" s="31" t="s">
        <v>20</v>
      </c>
      <c r="C556" s="16" t="s">
        <v>312</v>
      </c>
      <c r="D556" s="4">
        <v>1.3462697104958681E-3</v>
      </c>
      <c r="E556" t="s">
        <v>458</v>
      </c>
      <c r="F556" s="4">
        <v>6.7313485524793403E-4</v>
      </c>
      <c r="G556" s="1">
        <f t="shared" si="15"/>
        <v>6.7313485524793403E-4</v>
      </c>
      <c r="I556" s="12" t="s">
        <v>86</v>
      </c>
    </row>
    <row r="557" spans="2:9" x14ac:dyDescent="0.3">
      <c r="B557" s="31" t="s">
        <v>20</v>
      </c>
      <c r="C557" s="16" t="s">
        <v>326</v>
      </c>
      <c r="D557" s="4">
        <v>1.9428430563068187E-3</v>
      </c>
      <c r="E557" t="s">
        <v>458</v>
      </c>
      <c r="F557" s="4">
        <v>9.7142152815340933E-4</v>
      </c>
      <c r="G557" s="1">
        <f t="shared" si="15"/>
        <v>9.7142152815340933E-4</v>
      </c>
      <c r="I557" s="12" t="s">
        <v>86</v>
      </c>
    </row>
    <row r="558" spans="2:9" x14ac:dyDescent="0.3">
      <c r="B558" s="31" t="s">
        <v>20</v>
      </c>
      <c r="C558" s="16" t="s">
        <v>6</v>
      </c>
      <c r="D558" s="4">
        <v>6.7900384194214888E-2</v>
      </c>
      <c r="E558" t="s">
        <v>458</v>
      </c>
      <c r="F558" s="4">
        <v>3.3950192097107444E-2</v>
      </c>
      <c r="G558" s="1">
        <f t="shared" si="15"/>
        <v>3.3950192097107444E-2</v>
      </c>
      <c r="I558" s="12" t="s">
        <v>86</v>
      </c>
    </row>
    <row r="559" spans="2:9" x14ac:dyDescent="0.3">
      <c r="B559" s="31" t="s">
        <v>20</v>
      </c>
      <c r="C559" s="6" t="s">
        <v>339</v>
      </c>
      <c r="D559" s="4">
        <v>2.3030000000000002E-2</v>
      </c>
      <c r="E559" t="s">
        <v>912</v>
      </c>
      <c r="F559" s="4">
        <v>0.7</v>
      </c>
      <c r="G559" s="1">
        <f>AVERAGE(F559:F563)</f>
        <v>0.18929400000000002</v>
      </c>
      <c r="H559">
        <f>_xlfn.STDEV.P(F559:F563)</f>
        <v>0.25550722773338524</v>
      </c>
      <c r="I559" s="9" t="s">
        <v>913</v>
      </c>
    </row>
    <row r="560" spans="2:9" x14ac:dyDescent="0.3">
      <c r="B560" s="31" t="s">
        <v>20</v>
      </c>
      <c r="D560" s="4">
        <v>5.6840000000000002E-2</v>
      </c>
      <c r="E560" t="s">
        <v>912</v>
      </c>
      <c r="F560" s="4">
        <v>5.6840000000000002E-2</v>
      </c>
      <c r="I560" s="9" t="s">
        <v>914</v>
      </c>
    </row>
    <row r="561" spans="1:28" x14ac:dyDescent="0.3">
      <c r="B561" s="31" t="s">
        <v>20</v>
      </c>
      <c r="D561" s="4">
        <v>7.6440000000000008E-2</v>
      </c>
      <c r="E561" t="s">
        <v>912</v>
      </c>
      <c r="F561" s="4">
        <v>7.6440000000000008E-2</v>
      </c>
      <c r="I561" s="9" t="s">
        <v>915</v>
      </c>
    </row>
    <row r="562" spans="1:28" x14ac:dyDescent="0.3">
      <c r="B562" s="31" t="s">
        <v>20</v>
      </c>
      <c r="D562" s="4">
        <v>4.9489999999999999E-2</v>
      </c>
      <c r="E562" t="s">
        <v>912</v>
      </c>
      <c r="F562" s="4">
        <v>4.9489999999999999E-2</v>
      </c>
      <c r="I562" s="9" t="s">
        <v>916</v>
      </c>
    </row>
    <row r="563" spans="1:28" x14ac:dyDescent="0.3">
      <c r="B563" s="31" t="s">
        <v>20</v>
      </c>
      <c r="D563" s="4">
        <v>6.3700000000000007E-2</v>
      </c>
      <c r="E563" t="s">
        <v>840</v>
      </c>
      <c r="F563" s="4">
        <v>6.3700000000000007E-2</v>
      </c>
      <c r="I563" s="9" t="s">
        <v>917</v>
      </c>
    </row>
    <row r="564" spans="1:28" x14ac:dyDescent="0.3">
      <c r="A564" s="13"/>
      <c r="B564" s="31" t="s">
        <v>20</v>
      </c>
      <c r="C564" t="s">
        <v>7</v>
      </c>
      <c r="D564" s="4">
        <f>[1]rapeseed!$E$220</f>
        <v>2.4587000000000001E-2</v>
      </c>
      <c r="E564" t="s">
        <v>458</v>
      </c>
      <c r="F564" s="4">
        <v>1.2293500000000001E-2</v>
      </c>
      <c r="G564" s="1">
        <f>F564</f>
        <v>1.2293500000000001E-2</v>
      </c>
      <c r="I564" s="12" t="s">
        <v>86</v>
      </c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</row>
    <row r="565" spans="1:28" ht="15" customHeight="1" x14ac:dyDescent="0.3">
      <c r="B565" s="31" t="s">
        <v>20</v>
      </c>
      <c r="C565" s="16" t="s">
        <v>354</v>
      </c>
      <c r="D565" s="4">
        <f>[1]rapeseed!$E$227</f>
        <v>5.9266552685950415E-3</v>
      </c>
      <c r="E565" t="s">
        <v>458</v>
      </c>
      <c r="F565" s="4">
        <v>2.9633276342975207E-3</v>
      </c>
      <c r="G565" s="1">
        <f>F565</f>
        <v>2.9633276342975207E-3</v>
      </c>
      <c r="I565" s="12" t="s">
        <v>86</v>
      </c>
    </row>
    <row r="566" spans="1:28" ht="15" customHeight="1" x14ac:dyDescent="0.3">
      <c r="B566" s="32"/>
    </row>
    <row r="567" spans="1:28" x14ac:dyDescent="0.3">
      <c r="B567" s="32"/>
    </row>
  </sheetData>
  <hyperlinks>
    <hyperlink ref="J127" r:id="rId1" tooltip="Learn more about diatomite from ScienceDirect's AI-generated Topic Pages" display="https://www.sciencedirect.com/topics/earth-and-planetary-sciences/diatomite" xr:uid="{A8F492AB-7DCD-4ABA-B0B3-4A420AA515DE}"/>
    <hyperlink ref="I24" r:id="rId2" xr:uid="{B2781509-ADD8-4125-B41C-BB5EE894C2E7}"/>
    <hyperlink ref="I8" r:id="rId3" location="tbl3fnc" xr:uid="{8F398962-EA15-4607-B0A7-773B322C5B8A}"/>
    <hyperlink ref="I25" r:id="rId4" xr:uid="{723FB641-B961-462B-A1E8-3A9DE756FEBA}"/>
    <hyperlink ref="I47" r:id="rId5" xr:uid="{10F8F706-E3D9-4B1B-8342-D3B0BF5E248B}"/>
    <hyperlink ref="I9" r:id="rId6" xr:uid="{3A24C644-C5FA-435E-9935-79D27B61001A}"/>
    <hyperlink ref="I57" r:id="rId7" xr:uid="{DD73C907-6DF2-4E9F-A5CC-43DD5CECE02F}"/>
    <hyperlink ref="I56" r:id="rId8" location="s0010" xr:uid="{126C4C34-4A25-4C1B-B72A-92B8125F1760}"/>
    <hyperlink ref="I58" r:id="rId9" location="b0250" xr:uid="{22FC1EF3-ECBB-4054-AD79-A3D82B9BC18D}"/>
    <hyperlink ref="I61" r:id="rId10" display="https://www.scopus.com/record/display.uri?eid=2-s2.0-84859838302&amp;origin=resultslist&amp;sort=plf-f&amp;src=s&amp;sid=770bdfea32c2728de40361b11b940c79&amp;sot=a&amp;sdt=a&amp;s=TITLE-ABS-KEY%28%28%22rice+hull%22%29+AND+%28%22ethanol+production%22%29%29&amp;sl=55&amp;sessionSearchId=770bdfea32c2728de40361b11b940c79&amp;relpos=13" xr:uid="{973826A1-D00F-471A-A7E8-8154E4059227}"/>
    <hyperlink ref="I62" r:id="rId11" xr:uid="{32F77945-2D0B-467F-80E3-B0500F88AFD8}"/>
    <hyperlink ref="I63" r:id="rId12" location="s0025" xr:uid="{CFA188BC-5E1E-47CA-85C5-1A78FB5D7AAC}"/>
    <hyperlink ref="I64" r:id="rId13" location="s0025" display="https://www.sciencedirect.com/science/article/pii/S0960852410020237?pes=vor#s0025" xr:uid="{10195A2B-4879-40C9-A9FA-9BE490CC3534}"/>
    <hyperlink ref="I65" r:id="rId14" display="https://www.scopus.com/record/display.uri?eid=2-s2.0-79955907236&amp;origin=resultslist&amp;sort=plf-f&amp;src=s&amp;sid=770bdfea32c2728de40361b11b940c79&amp;sot=a&amp;sdt=a&amp;s=TITLE-ABS-KEY%28%28%22rice+hull%22%29+AND+%28%22ethanol+production%22%29%29&amp;sl=55&amp;sessionSearchId=770bdfea32c2728de40361b11b940c79&amp;relpos=15" xr:uid="{EF4B1D8B-4B03-41A1-BB4E-0172A632086A}"/>
    <hyperlink ref="I66" r:id="rId15" xr:uid="{45106B60-D136-4915-8141-02A652F3B9B6}"/>
    <hyperlink ref="I67" r:id="rId16" location="sec0065" xr:uid="{DFE4BA5E-8560-4F84-8644-615B67A299B4}"/>
    <hyperlink ref="I189" r:id="rId17" location="m0005" xr:uid="{77E69F23-CB71-4026-B37A-157B1CBE2EE3}"/>
    <hyperlink ref="I3" r:id="rId18" xr:uid="{DF5F7CEB-A697-455A-9968-0E9024DA4130}"/>
    <hyperlink ref="I6" r:id="rId19" xr:uid="{5F301DCA-E1E2-40BB-A81F-3A11DBEC98D3}"/>
    <hyperlink ref="I13" r:id="rId20" location="fig0020" xr:uid="{61A2BFD8-BF76-493A-83E5-289B818ECAD6}"/>
    <hyperlink ref="I14" r:id="rId21" xr:uid="{1A53CA30-7728-49C3-A4B7-DD35C7B684C6}"/>
    <hyperlink ref="I26" r:id="rId22" xr:uid="{4613E091-E41D-4524-9FB0-6D3B21908DFD}"/>
    <hyperlink ref="I27" r:id="rId23" display="https://www.scopus.com/record/display.uri?eid=2-s2.0-34548021881&amp;origin=resultslist&amp;sort=r-f&amp;src=s&amp;sid=98710797b13ce2eaab7165cc3f6aaa48&amp;sot=b&amp;sdt=b&amp;s=TITLE-ABS-KEY%28%28+%22sugarcane%22+OR+%22sugar+cane%22+OR+%22whole+sugarcane%22+OR+%22whole+sugar+cane%22+%29+AND+%28+%22ethanol+production%22+%29+AND+%28+%22yield%22+%29%29&amp;sl=133&amp;sessionSearchId=98710797b13ce2eaab7165cc3f6aaa48 " xr:uid="{E8F410FB-E8DE-4346-A028-347C55F26380}"/>
    <hyperlink ref="I28" r:id="rId24" xr:uid="{2A7A7DE0-9D5D-4BFA-8CBF-8929443587E1}"/>
    <hyperlink ref="I31" r:id="rId25" xr:uid="{F6E5B354-A761-4095-B04C-FAAB4121C2EC}"/>
    <hyperlink ref="I32" r:id="rId26" display="https://www.scopus.com/record/display.uri?eid=2-s2.0-85173894582&amp;origin=resultslist&amp;sort=plf-f&amp;src=s&amp;sid=a82dc4bbcb1579116418651cac7c446d&amp;sot=b&amp;sdt=b&amp;s=TITLE-ABS-KEY%28%28%22bagasse%22%29+AND+%28%22ethanol+production%22%29%29&amp;sl=53&amp;sessionSearchId=a82dc4bbcb1579116418651cac7c446d" xr:uid="{E9AA8087-0A53-4E9F-A9F3-7CEFD9A1A52E}"/>
    <hyperlink ref="I33" r:id="rId27" display="https://www.scopus.com/record/display.uri?eid=2-s2.0-85163169278&amp;origin=resultslist&amp;sort=plf-f&amp;src=s&amp;sid=a82dc4bbcb1579116418651cac7c446d&amp;sot=b&amp;sdt=b&amp;s=TITLE-ABS-KEY%28%28%22bagasse%22%29+AND+%28%22ethanol+production%22%29%29&amp;sl=53&amp;sessionSearchId=a82dc4bbcb1579116418651cac7c446d" xr:uid="{031D5869-9888-4102-B1D6-969A0C49ABAE}"/>
    <hyperlink ref="I34" r:id="rId28" display="https://www.scopus.com/record/display.uri?eid=2-s2.0-80755187758&amp;origin=resultslist&amp;sort=r-f&amp;src=s&amp;sid=a82dc4bbcb1579116418651cac7c446d&amp;sot=b&amp;sdt=b&amp;s=TITLE-ABS-KEY%28%28+%22bagasse%22+%29+AND+%28+%22ethanol+production%22+%29+AND+%22yield%22%29&amp;sl=53&amp;sessionSearchId=a82dc4bbcb1579116418651cac7c446d " xr:uid="{8D9CD429-3D1B-43ED-8DD9-584A35A8C760}"/>
    <hyperlink ref="I35" r:id="rId29" xr:uid="{3B2F9D4A-DA14-4922-9E6A-740C08A40F77}"/>
    <hyperlink ref="I36" r:id="rId30" xr:uid="{1841F165-DFF3-4CA5-853B-D04578B9FCE4}"/>
    <hyperlink ref="I37" r:id="rId31" xr:uid="{523360E2-7796-41C6-ADFF-793E93440DFC}"/>
    <hyperlink ref="I38" r:id="rId32" xr:uid="{F0B93CCA-1D3C-4FB5-8625-27790EF291BD}"/>
    <hyperlink ref="I39" r:id="rId33" xr:uid="{10EEB56E-AA59-4A1F-8C54-BF313EAACD94}"/>
    <hyperlink ref="I41" r:id="rId34" xr:uid="{7F61152E-E543-45B7-8217-2C0C059BFEFB}"/>
    <hyperlink ref="I42" r:id="rId35" xr:uid="{C3055D3C-9210-48D1-A220-D3672BD720AD}"/>
    <hyperlink ref="I46" r:id="rId36" xr:uid="{9FAF804B-8115-4669-A740-2DE0723683B7}"/>
    <hyperlink ref="I48" r:id="rId37" xr:uid="{378404C6-AE86-4396-8B9E-2642AB1DB0AF}"/>
    <hyperlink ref="I49" r:id="rId38" xr:uid="{F469883C-8FF0-42D1-8AE2-644C52AB4DA6}"/>
    <hyperlink ref="I50" r:id="rId39" xr:uid="{CBF62C2E-8EBE-45DE-9A59-E779641E6176}"/>
    <hyperlink ref="I51" r:id="rId40" xr:uid="{5798E70B-237C-456F-8B73-F676684FD62C}"/>
    <hyperlink ref="I52" r:id="rId41" xr:uid="{CF43684A-0FBA-4611-A8CD-E98D2178AFA5}"/>
    <hyperlink ref="I53" r:id="rId42" xr:uid="{960E48C2-E724-4F2C-897E-3D2033038F2C}"/>
    <hyperlink ref="I54" r:id="rId43" xr:uid="{02943F55-8C6F-4C98-BD95-2B1EBD06E5A3}"/>
    <hyperlink ref="I121" r:id="rId44" xr:uid="{16525925-3606-4320-8C35-E0D95C7D8863}"/>
    <hyperlink ref="I122" r:id="rId45" xr:uid="{FF171A7C-132E-48C8-8991-7E06AE183DC0}"/>
    <hyperlink ref="I123" r:id="rId46" xr:uid="{47DE028E-4091-4676-AEC1-0257DC28E0CD}"/>
    <hyperlink ref="I124" r:id="rId47" xr:uid="{4FA22DD9-5208-4B2F-8861-DFC6F9043A47}"/>
    <hyperlink ref="I125" r:id="rId48" xr:uid="{85920BE4-E9E5-44B7-B61B-BB2458BA9AD4}"/>
    <hyperlink ref="I108" r:id="rId49" display="https://www.researchgate.net/publication/256197077_Ethanol_Production_from_Winter_Hulless_Barley" xr:uid="{0A105430-FFAB-453D-AC07-D97198E23CC1}"/>
    <hyperlink ref="I109" r:id="rId50" display="https://www-scopus-com.proxy.library.uu.nl/record/display.uri?eid=2-s2.0-81355161555&amp;origin=resultslist&amp;sort=r-f&amp;src=s&amp;sid=bf6987c16c025d5d765fb719665143bc&amp;sot=b&amp;sdt=b&amp;s=TITLE-ABS-KEY%28%22barley%22+AND+%22ethanol+production%22+%22w%2Fw%22%29&amp;sl=48&amp;sessionSearchId=bf6987c16c025d5d765fb719665143bc&amp;relpos=0" xr:uid="{DABC8D4A-0F91-4BCC-92FC-A058611B0AD1}"/>
    <hyperlink ref="I113" r:id="rId51" display="https://www-sciencedirect-com.proxy.library.uu.nl/science/article/pii/S0926669008000241" xr:uid="{60584BD2-6855-4316-8622-C6535EA2B4D5}"/>
    <hyperlink ref="I114" r:id="rId52" display="https://www-sciencedirect-com.proxy.library.uu.nl/science/article/pii/S0960148122002919" xr:uid="{ADDE3986-6B82-4069-97CF-933926628213}"/>
    <hyperlink ref="I319" r:id="rId53" display="https://www-sciencedirect-com.proxy.library.uu.nl/science/article/pii/S0141022910002681" xr:uid="{EE39E6E5-6BBD-4943-9B80-D74AC43CA6EF}"/>
    <hyperlink ref="I477" r:id="rId54" display="https://www-sciencedirect-com.proxy.library.uu.nl/science/article/pii/S0960852424001937" xr:uid="{0F362B67-15A7-47CD-8AD9-8C8B82E67D49}"/>
    <hyperlink ref="I478" r:id="rId55" display="https://www-sciencedirect-com.proxy.library.uu.nl/science/article/pii/S1369703X08000235" xr:uid="{D72147E0-68F1-4EFA-AAA0-A531B0F339B1}"/>
    <hyperlink ref="I479" r:id="rId56" display="https://www-sciencedirect-com.proxy.library.uu.nl/science/article/pii/S0956053X15302154" xr:uid="{DA4C83EE-68A9-4FEF-B261-F650DA6628BE}"/>
    <hyperlink ref="I483" r:id="rId57" display="https://doaj.org/article/e01c2d5c3c5b486d91a97d9ddfebf600" xr:uid="{C03DDE60-496C-4868-8F3B-C5AAC6F24B88}"/>
    <hyperlink ref="I559" r:id="rId58" display="https://onlinelibrary-wiley-com.proxy.library.uu.nl/doi/full/10.1002/jsfa.2276?sid=worldcat.org" xr:uid="{BDA65EBA-96B9-4D33-A8CA-D71B7788014C}"/>
    <hyperlink ref="I19" r:id="rId59" xr:uid="{9775CDDB-7D4C-4D38-8C04-89470E98ED31}"/>
    <hyperlink ref="I20" r:id="rId60" xr:uid="{1E8B9478-A832-46AA-A236-5AC5872035C2}"/>
    <hyperlink ref="K139" r:id="rId61" xr:uid="{55084C60-C40F-49DD-A9F2-3FBFD2C3F55E}"/>
    <hyperlink ref="K137" r:id="rId62" location="bib61" xr:uid="{CD2F0596-A50C-49B0-BB2B-8E1A3AAF8AD7}"/>
    <hyperlink ref="K138" r:id="rId63" location="bib61" xr:uid="{C195180C-2DEA-479C-B90B-D56E1A615921}"/>
    <hyperlink ref="J375" r:id="rId64" xr:uid="{6A40B259-A2E6-41E8-A60A-E151770747F7}"/>
    <hyperlink ref="J167" r:id="rId65" xr:uid="{273F131B-9C76-4EC3-875D-87AF0530CDA8}"/>
    <hyperlink ref="J168" r:id="rId66" xr:uid="{233CD4D2-6A68-44FD-B07E-72F5F86F61AD}"/>
    <hyperlink ref="J169" r:id="rId67" xr:uid="{AE0867B3-361C-4971-BB15-B66317FA215C}"/>
    <hyperlink ref="I110" r:id="rId68" display="https://www.sciencedirect.com/science/article/pii/S092058611300429X?casa_token=TmRSLLyyCFMAAAAA:FE-nSruO8qqe-auFmTSCIrZQxs87ixKGFR_CJGPn4yyD2_yQal-EUQAAJh-yMMuThHqvTpbk" xr:uid="{C1E9EACE-2556-491B-918B-8AD8FC930356}"/>
    <hyperlink ref="J321" r:id="rId69" tooltip="Persistent link using digital object identifier" xr:uid="{4C89A10B-C3E8-4862-91F1-A74501F71580}"/>
    <hyperlink ref="I116" r:id="rId70" display="https://www-sciencedirect-com.proxy.library.uu.nl/science/article/pii/S1871678418302279" xr:uid="{27135173-8353-4F86-BFF8-A4AD28B6B056}"/>
    <hyperlink ref="I117" r:id="rId71" display="https://www-sciencedirect-com.proxy.library.uu.nl/science/article/pii/S0960852419315974" xr:uid="{21A84124-54C5-4643-8A52-632E206F5B0E}"/>
    <hyperlink ref="I480" r:id="rId72" display="https://link-springer-com.proxy.library.uu.nl/article/10.1007/s10529-007-9494-3" xr:uid="{68CCF996-C9DF-4E89-8114-BA3C9E0897DA}"/>
    <hyperlink ref="I481" r:id="rId73" display="https://www-sciencedirect-com.proxy.library.uu.nl/science/article/pii/S1369703X08000235" xr:uid="{E89ACC8D-0E9D-4DD7-AB06-B93C46B21011}"/>
    <hyperlink ref="I560" r:id="rId74" display="https://link-springer-com.proxy.library.uu.nl/article/10.1007/s10529-007-9468-5" xr:uid="{4439FDB7-3AA3-40A8-B288-3AAD5E2EB82B}"/>
    <hyperlink ref="I561" r:id="rId75" display="https://www-sciencedirect-com.proxy.library.uu.nl/science/article/pii/S1359511308000329" xr:uid="{E9A933FB-A107-42BC-A109-1D28DA758C43}"/>
    <hyperlink ref="I562" r:id="rId76" display="https://www.sciencedirect.com/science/article/abs/pii/S0032959204001657" xr:uid="{DC906FC7-A6B9-46B4-8E56-A7D5FB5E5C45}"/>
    <hyperlink ref="I563" r:id="rId77" display="https://aiche-onlinelibrary-wiley-com.proxy.library.uu.nl/doi/epdf/10.1021/bp0501118" xr:uid="{AB21FF45-D278-4395-BA9E-638F7B7F1670}"/>
  </hyperlinks>
  <pageMargins left="0.7" right="0.7" top="0.75" bottom="0.75" header="0.3" footer="0.3"/>
  <drawing r:id="rId78"/>
  <legacyDrawing r:id="rId7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AFB11-8068-4AFC-863F-DA5246314710}">
  <dimension ref="A1:C12"/>
  <sheetViews>
    <sheetView workbookViewId="0">
      <selection activeCell="Q13" sqref="Q13"/>
    </sheetView>
  </sheetViews>
  <sheetFormatPr defaultRowHeight="14.4" x14ac:dyDescent="0.3"/>
  <sheetData>
    <row r="1" spans="1:3" x14ac:dyDescent="0.3">
      <c r="B1" t="s">
        <v>0</v>
      </c>
      <c r="C1" t="s">
        <v>1</v>
      </c>
    </row>
    <row r="2" spans="1:3" x14ac:dyDescent="0.3">
      <c r="A2">
        <v>1</v>
      </c>
      <c r="B2" s="2">
        <v>17902.234742085566</v>
      </c>
      <c r="C2" t="s">
        <v>2</v>
      </c>
    </row>
    <row r="3" spans="1:3" x14ac:dyDescent="0.3">
      <c r="A3">
        <v>2</v>
      </c>
      <c r="B3" s="2">
        <v>12788.681992681795</v>
      </c>
      <c r="C3" t="s">
        <v>3</v>
      </c>
    </row>
    <row r="4" spans="1:3" x14ac:dyDescent="0.3">
      <c r="A4">
        <v>3</v>
      </c>
      <c r="B4" s="3">
        <v>8827.1956120000104</v>
      </c>
      <c r="C4" t="s">
        <v>4</v>
      </c>
    </row>
    <row r="5" spans="1:3" x14ac:dyDescent="0.3">
      <c r="A5">
        <v>4</v>
      </c>
      <c r="B5" s="3">
        <v>8523.7728072406462</v>
      </c>
      <c r="C5" t="s">
        <v>5</v>
      </c>
    </row>
    <row r="6" spans="1:3" x14ac:dyDescent="0.3">
      <c r="A6">
        <v>5</v>
      </c>
      <c r="B6" s="2">
        <v>6314.0601133582823</v>
      </c>
      <c r="C6" t="s">
        <v>6</v>
      </c>
    </row>
    <row r="7" spans="1:3" x14ac:dyDescent="0.3">
      <c r="A7">
        <v>6</v>
      </c>
      <c r="B7" s="2">
        <v>751.48582020618778</v>
      </c>
      <c r="C7" t="s">
        <v>7</v>
      </c>
    </row>
    <row r="8" spans="1:3" x14ac:dyDescent="0.3">
      <c r="A8">
        <v>7</v>
      </c>
      <c r="B8" s="4">
        <v>4313.5519193017753</v>
      </c>
      <c r="C8" t="s">
        <v>8</v>
      </c>
    </row>
    <row r="9" spans="1:3" x14ac:dyDescent="0.3">
      <c r="A9">
        <v>8</v>
      </c>
      <c r="B9" s="2">
        <v>2804.4809679534883</v>
      </c>
      <c r="C9" t="s">
        <v>9</v>
      </c>
    </row>
    <row r="10" spans="1:3" x14ac:dyDescent="0.3">
      <c r="B10" s="3"/>
    </row>
    <row r="11" spans="1:3" x14ac:dyDescent="0.3">
      <c r="B11" s="3"/>
    </row>
    <row r="12" spans="1:3" x14ac:dyDescent="0.3">
      <c r="B1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463ED-D659-44D9-AD15-CF892B10F0D5}">
  <dimension ref="A1:C12"/>
  <sheetViews>
    <sheetView workbookViewId="0">
      <selection activeCell="E16" sqref="E16"/>
    </sheetView>
  </sheetViews>
  <sheetFormatPr defaultRowHeight="14.4" x14ac:dyDescent="0.3"/>
  <sheetData>
    <row r="1" spans="1:3" x14ac:dyDescent="0.3">
      <c r="B1" t="s">
        <v>0</v>
      </c>
      <c r="C1" t="s">
        <v>1</v>
      </c>
    </row>
    <row r="2" spans="1:3" x14ac:dyDescent="0.3">
      <c r="A2">
        <v>1</v>
      </c>
      <c r="B2">
        <v>370</v>
      </c>
      <c r="C2" t="s">
        <v>10</v>
      </c>
    </row>
    <row r="3" spans="1:3" x14ac:dyDescent="0.3">
      <c r="A3">
        <v>2</v>
      </c>
      <c r="B3">
        <v>51.4</v>
      </c>
      <c r="C3" t="s">
        <v>11</v>
      </c>
    </row>
    <row r="4" spans="1:3" x14ac:dyDescent="0.3">
      <c r="A4">
        <v>3</v>
      </c>
      <c r="B4">
        <v>58.064516129032256</v>
      </c>
      <c r="C4" t="s">
        <v>12</v>
      </c>
    </row>
    <row r="5" spans="1:3" x14ac:dyDescent="0.3">
      <c r="A5">
        <v>4</v>
      </c>
      <c r="B5">
        <v>230.87763157894736</v>
      </c>
      <c r="C5" t="s">
        <v>13</v>
      </c>
    </row>
    <row r="6" spans="1:3" x14ac:dyDescent="0.3">
      <c r="A6">
        <v>5</v>
      </c>
      <c r="B6">
        <v>32.716763005780351</v>
      </c>
      <c r="C6" t="s">
        <v>14</v>
      </c>
    </row>
    <row r="7" spans="1:3" x14ac:dyDescent="0.3">
      <c r="A7">
        <v>6</v>
      </c>
      <c r="B7">
        <v>74.62</v>
      </c>
      <c r="C7" t="s">
        <v>15</v>
      </c>
    </row>
    <row r="8" spans="1:3" x14ac:dyDescent="0.3">
      <c r="A8">
        <v>7</v>
      </c>
      <c r="B8">
        <v>0.32786885245901642</v>
      </c>
      <c r="C8" t="s">
        <v>16</v>
      </c>
    </row>
    <row r="9" spans="1:3" x14ac:dyDescent="0.3">
      <c r="A9">
        <v>8</v>
      </c>
      <c r="B9">
        <v>0.88185654008438807</v>
      </c>
      <c r="C9" t="s">
        <v>17</v>
      </c>
    </row>
    <row r="10" spans="1:3" x14ac:dyDescent="0.3">
      <c r="A10">
        <v>9</v>
      </c>
      <c r="B10">
        <v>808.56299999999999</v>
      </c>
      <c r="C10" t="s">
        <v>18</v>
      </c>
    </row>
    <row r="11" spans="1:3" x14ac:dyDescent="0.3">
      <c r="A11">
        <v>10</v>
      </c>
      <c r="B11">
        <v>420</v>
      </c>
      <c r="C11" t="s">
        <v>19</v>
      </c>
    </row>
    <row r="12" spans="1:3" x14ac:dyDescent="0.3">
      <c r="A12">
        <v>11</v>
      </c>
      <c r="B12">
        <v>23.25</v>
      </c>
      <c r="C12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3003C-B364-4042-943A-4341576E5ABE}">
  <dimension ref="A1:B12"/>
  <sheetViews>
    <sheetView workbookViewId="0">
      <selection activeCell="B2" sqref="B2:B12"/>
    </sheetView>
  </sheetViews>
  <sheetFormatPr defaultRowHeight="14.4" x14ac:dyDescent="0.3"/>
  <sheetData>
    <row r="1" spans="1:2" x14ac:dyDescent="0.3">
      <c r="B1" t="s">
        <v>0</v>
      </c>
    </row>
    <row r="2" spans="1:2" x14ac:dyDescent="0.3">
      <c r="A2">
        <v>1</v>
      </c>
      <c r="B2">
        <v>722908.74524714833</v>
      </c>
    </row>
    <row r="3" spans="1:2" x14ac:dyDescent="0.3">
      <c r="A3">
        <v>2</v>
      </c>
      <c r="B3">
        <v>15229300</v>
      </c>
    </row>
    <row r="4" spans="1:2" x14ac:dyDescent="0.3">
      <c r="A4">
        <v>3</v>
      </c>
      <c r="B4">
        <v>6457470000.000001</v>
      </c>
    </row>
    <row r="5" spans="1:2" x14ac:dyDescent="0.3">
      <c r="A5">
        <v>4</v>
      </c>
      <c r="B5">
        <v>538480000</v>
      </c>
    </row>
    <row r="6" spans="1:2" x14ac:dyDescent="0.3">
      <c r="A6">
        <v>5</v>
      </c>
      <c r="B6">
        <v>697499.99999999977</v>
      </c>
    </row>
    <row r="7" spans="1:2" x14ac:dyDescent="0.3">
      <c r="A7">
        <v>6</v>
      </c>
      <c r="B7">
        <v>1412000</v>
      </c>
    </row>
    <row r="8" spans="1:2" x14ac:dyDescent="0.3">
      <c r="A8">
        <v>7</v>
      </c>
      <c r="B8">
        <v>5958170000</v>
      </c>
    </row>
    <row r="9" spans="1:2" x14ac:dyDescent="0.3">
      <c r="A9">
        <v>8</v>
      </c>
      <c r="B9">
        <v>26002400.000000004</v>
      </c>
    </row>
    <row r="10" spans="1:2" x14ac:dyDescent="0.3">
      <c r="A10">
        <v>9</v>
      </c>
      <c r="B10">
        <v>190000</v>
      </c>
    </row>
    <row r="11" spans="1:2" x14ac:dyDescent="0.3">
      <c r="A11">
        <v>10</v>
      </c>
      <c r="B11">
        <v>370000</v>
      </c>
    </row>
    <row r="12" spans="1:2" x14ac:dyDescent="0.3">
      <c r="A12">
        <v>11</v>
      </c>
      <c r="B12">
        <v>4750000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03BF3-ECA1-48CE-AA3F-A017D5AC4ED7}">
  <dimension ref="A1:B12"/>
  <sheetViews>
    <sheetView workbookViewId="0">
      <selection activeCell="I18" sqref="I18"/>
    </sheetView>
  </sheetViews>
  <sheetFormatPr defaultRowHeight="14.4" x14ac:dyDescent="0.3"/>
  <sheetData>
    <row r="1" spans="1:2" x14ac:dyDescent="0.3">
      <c r="B1" t="s">
        <v>0</v>
      </c>
    </row>
    <row r="2" spans="1:2" x14ac:dyDescent="0.3">
      <c r="A2">
        <v>1</v>
      </c>
      <c r="B2">
        <v>1422903.4852546917</v>
      </c>
    </row>
    <row r="3" spans="1:2" x14ac:dyDescent="0.3">
      <c r="A3">
        <v>2</v>
      </c>
      <c r="B3">
        <v>0</v>
      </c>
    </row>
    <row r="4" spans="1:2" x14ac:dyDescent="0.3">
      <c r="A4">
        <v>3</v>
      </c>
      <c r="B4">
        <v>8033410</v>
      </c>
    </row>
    <row r="5" spans="1:2" x14ac:dyDescent="0.3">
      <c r="A5">
        <v>4</v>
      </c>
      <c r="B5">
        <v>0</v>
      </c>
    </row>
    <row r="6" spans="1:2" x14ac:dyDescent="0.3">
      <c r="A6">
        <v>5</v>
      </c>
      <c r="B6">
        <v>7414999.9999999991</v>
      </c>
    </row>
    <row r="7" spans="1:2" x14ac:dyDescent="0.3">
      <c r="A7">
        <v>6</v>
      </c>
      <c r="B7">
        <v>6918300</v>
      </c>
    </row>
    <row r="8" spans="1:2" x14ac:dyDescent="0.3">
      <c r="A8">
        <v>7</v>
      </c>
      <c r="B8">
        <v>1480560.0000000002</v>
      </c>
    </row>
    <row r="9" spans="1:2" x14ac:dyDescent="0.3">
      <c r="A9">
        <v>8</v>
      </c>
      <c r="B9">
        <v>0</v>
      </c>
    </row>
    <row r="10" spans="1:2" x14ac:dyDescent="0.3">
      <c r="A10">
        <v>9</v>
      </c>
      <c r="B10">
        <v>3792999.9999999995</v>
      </c>
    </row>
    <row r="11" spans="1:2" x14ac:dyDescent="0.3">
      <c r="A11">
        <v>10</v>
      </c>
      <c r="B11">
        <v>1833999.9999999998</v>
      </c>
    </row>
    <row r="12" spans="1:2" x14ac:dyDescent="0.3">
      <c r="A12">
        <v>11</v>
      </c>
      <c r="B12">
        <v>1789999.9999999998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eta</vt:lpstr>
      <vt:lpstr>yield</vt:lpstr>
      <vt:lpstr>FL</vt:lpstr>
      <vt:lpstr>CH</vt:lpstr>
      <vt:lpstr>profit</vt:lpstr>
      <vt:lpstr>GWP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Wei, Yujun</dc:creator>
  <cp:lastModifiedBy>Wei, Yujun</cp:lastModifiedBy>
  <dcterms:created xsi:type="dcterms:W3CDTF">2015-06-05T18:17:20Z</dcterms:created>
  <dcterms:modified xsi:type="dcterms:W3CDTF">2026-08-04T10:42:41Z</dcterms:modified>
</cp:coreProperties>
</file>