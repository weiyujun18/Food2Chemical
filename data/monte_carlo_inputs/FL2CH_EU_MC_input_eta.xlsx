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MentoCarlo\"/>
    </mc:Choice>
  </mc:AlternateContent>
  <xr:revisionPtr revIDLastSave="0" documentId="13_ncr:1_{2474DD34-636B-47A1-A76D-79889E49974C}" xr6:coauthVersionLast="47" xr6:coauthVersionMax="47" xr10:uidLastSave="{00000000-0000-0000-0000-000000000000}"/>
  <bookViews>
    <workbookView xWindow="28680" yWindow="-120" windowWidth="29040" windowHeight="15720" firstSheet="1" activeTab="8" xr2:uid="{00000000-000D-0000-FFFF-FFFF00000000}"/>
  </bookViews>
  <sheets>
    <sheet name="eta" sheetId="1" r:id="rId1"/>
    <sheet name="yield" sheetId="2" r:id="rId2"/>
    <sheet name="FL" sheetId="3" r:id="rId3"/>
    <sheet name="CH" sheetId="4" r:id="rId4"/>
    <sheet name="profit" sheetId="5" r:id="rId5"/>
    <sheet name="GWP" sheetId="6" r:id="rId6"/>
    <sheet name="README_MC" sheetId="7" r:id="rId7"/>
    <sheet name="MC_Settings" sheetId="8" r:id="rId8"/>
    <sheet name="MC_eta" sheetId="9" r:id="rId9"/>
    <sheet name="MC_FL" sheetId="10" r:id="rId10"/>
    <sheet name="MC_GWP" sheetId="11" r:id="rId11"/>
    <sheet name="MC_profit" sheetId="12" r:id="rId12"/>
    <sheet name="MC_Output_schem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2" l="1"/>
  <c r="G564" i="2"/>
  <c r="H559" i="2"/>
  <c r="G559" i="2"/>
  <c r="G558" i="2"/>
  <c r="G557" i="2"/>
  <c r="G556" i="2"/>
  <c r="G555" i="2"/>
  <c r="H553" i="2"/>
  <c r="G553" i="2"/>
  <c r="G552" i="2"/>
  <c r="G551" i="2"/>
  <c r="G550" i="2"/>
  <c r="G549" i="2"/>
  <c r="G548" i="2"/>
  <c r="G547" i="2"/>
  <c r="H545" i="2"/>
  <c r="G545" i="2"/>
  <c r="G544" i="2"/>
  <c r="G543" i="2"/>
  <c r="G542" i="2"/>
  <c r="G541" i="2"/>
  <c r="G540" i="2"/>
  <c r="H535" i="2"/>
  <c r="G535" i="2"/>
  <c r="H530" i="2"/>
  <c r="G530" i="2"/>
  <c r="G529" i="2"/>
  <c r="G528" i="2"/>
  <c r="G527" i="2"/>
  <c r="G526" i="2"/>
  <c r="H523" i="2"/>
  <c r="G523" i="2"/>
  <c r="G522" i="2"/>
  <c r="G521" i="2"/>
  <c r="G520" i="2"/>
  <c r="H515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2" i="2"/>
  <c r="H477" i="2"/>
  <c r="G477" i="2"/>
  <c r="G476" i="2"/>
  <c r="G475" i="2"/>
  <c r="H472" i="2"/>
  <c r="G472" i="2"/>
  <c r="D472" i="2"/>
  <c r="G471" i="2"/>
  <c r="H469" i="2"/>
  <c r="G469" i="2"/>
  <c r="G468" i="2"/>
  <c r="H463" i="2"/>
  <c r="G463" i="2"/>
  <c r="G462" i="2"/>
  <c r="H459" i="2"/>
  <c r="G459" i="2"/>
  <c r="H456" i="2"/>
  <c r="G456" i="2"/>
  <c r="H451" i="2"/>
  <c r="G451" i="2"/>
  <c r="H446" i="2"/>
  <c r="G446" i="2"/>
  <c r="G445" i="2"/>
  <c r="D444" i="2"/>
  <c r="D442" i="2"/>
  <c r="D441" i="2"/>
  <c r="H440" i="2"/>
  <c r="G440" i="2"/>
  <c r="H437" i="2"/>
  <c r="G437" i="2"/>
  <c r="G436" i="2"/>
  <c r="H431" i="2"/>
  <c r="G431" i="2"/>
  <c r="H426" i="2"/>
  <c r="G426" i="2"/>
  <c r="H421" i="2"/>
  <c r="G421" i="2"/>
  <c r="H419" i="2"/>
  <c r="G419" i="2"/>
  <c r="G418" i="2"/>
  <c r="H413" i="2"/>
  <c r="G413" i="2"/>
  <c r="G412" i="2"/>
  <c r="H407" i="2"/>
  <c r="G407" i="2"/>
  <c r="H403" i="2"/>
  <c r="G403" i="2"/>
  <c r="G402" i="2"/>
  <c r="G401" i="2"/>
  <c r="H397" i="2"/>
  <c r="G397" i="2"/>
  <c r="G396" i="2"/>
  <c r="G395" i="2"/>
  <c r="G394" i="2"/>
  <c r="G393" i="2"/>
  <c r="G392" i="2"/>
  <c r="G391" i="2"/>
  <c r="G390" i="2"/>
  <c r="G389" i="2"/>
  <c r="G388" i="2"/>
  <c r="G386" i="2"/>
  <c r="G385" i="2"/>
  <c r="G384" i="2"/>
  <c r="G383" i="2"/>
  <c r="G382" i="2"/>
  <c r="G378" i="2"/>
  <c r="G377" i="2"/>
  <c r="G376" i="2"/>
  <c r="G375" i="2"/>
  <c r="G374" i="2"/>
  <c r="H373" i="2"/>
  <c r="G373" i="2"/>
  <c r="H368" i="2"/>
  <c r="G368" i="2"/>
  <c r="G367" i="2"/>
  <c r="G366" i="2"/>
  <c r="G365" i="2"/>
  <c r="G364" i="2"/>
  <c r="G363" i="2"/>
  <c r="G362" i="2"/>
  <c r="H360" i="2"/>
  <c r="G360" i="2"/>
  <c r="G359" i="2"/>
  <c r="G358" i="2"/>
  <c r="H353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H308" i="2"/>
  <c r="G308" i="2"/>
  <c r="G307" i="2"/>
  <c r="G306" i="2"/>
  <c r="G305" i="2"/>
  <c r="G304" i="2"/>
  <c r="G303" i="2"/>
  <c r="G302" i="2"/>
  <c r="G301" i="2"/>
  <c r="G300" i="2"/>
  <c r="G299" i="2"/>
  <c r="H297" i="2"/>
  <c r="G297" i="2"/>
  <c r="H292" i="2"/>
  <c r="G292" i="2"/>
  <c r="H289" i="2"/>
  <c r="G289" i="2"/>
  <c r="G288" i="2"/>
  <c r="G287" i="2"/>
  <c r="G286" i="2"/>
  <c r="G285" i="2"/>
  <c r="D284" i="2"/>
  <c r="H283" i="2"/>
  <c r="G283" i="2"/>
  <c r="H278" i="2"/>
  <c r="G278" i="2"/>
  <c r="G277" i="2"/>
  <c r="G276" i="2"/>
  <c r="H271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H200" i="2"/>
  <c r="G200" i="2"/>
  <c r="G199" i="2"/>
  <c r="G198" i="2"/>
  <c r="G197" i="2"/>
  <c r="G196" i="2"/>
  <c r="G195" i="2"/>
  <c r="G194" i="2"/>
  <c r="G193" i="2"/>
  <c r="H187" i="2"/>
  <c r="G187" i="2"/>
  <c r="H186" i="2"/>
  <c r="G186" i="2"/>
  <c r="G185" i="2"/>
  <c r="H183" i="2"/>
  <c r="G183" i="2"/>
  <c r="G182" i="2"/>
  <c r="H177" i="2"/>
  <c r="G177" i="2"/>
  <c r="G176" i="2"/>
  <c r="H175" i="2"/>
  <c r="G175" i="2"/>
  <c r="H174" i="2"/>
  <c r="G174" i="2"/>
  <c r="G173" i="2"/>
  <c r="H172" i="2"/>
  <c r="G172" i="2"/>
  <c r="H171" i="2"/>
  <c r="G171" i="2"/>
  <c r="H170" i="2"/>
  <c r="G170" i="2"/>
  <c r="G169" i="2"/>
  <c r="G168" i="2"/>
  <c r="H165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H146" i="2"/>
  <c r="G146" i="2"/>
  <c r="G145" i="2"/>
  <c r="G144" i="2"/>
  <c r="H142" i="2"/>
  <c r="G142" i="2"/>
  <c r="G141" i="2"/>
  <c r="H135" i="2"/>
  <c r="G135" i="2"/>
  <c r="G134" i="2"/>
  <c r="G133" i="2"/>
  <c r="G132" i="2"/>
  <c r="G131" i="2"/>
  <c r="G130" i="2"/>
  <c r="G129" i="2"/>
  <c r="G128" i="2"/>
  <c r="G127" i="2"/>
  <c r="G126" i="2"/>
  <c r="H121" i="2"/>
  <c r="G121" i="2"/>
  <c r="G120" i="2"/>
  <c r="G118" i="2"/>
  <c r="G113" i="2"/>
  <c r="G108" i="2"/>
  <c r="G107" i="2"/>
  <c r="H102" i="2"/>
  <c r="G102" i="2"/>
  <c r="H100" i="2"/>
  <c r="G100" i="2"/>
  <c r="H95" i="2"/>
  <c r="G95" i="2"/>
  <c r="H90" i="2"/>
  <c r="G90" i="2"/>
  <c r="H87" i="2"/>
  <c r="G87" i="2"/>
  <c r="H82" i="2"/>
  <c r="G82" i="2"/>
  <c r="H77" i="2"/>
  <c r="G77" i="2"/>
  <c r="H72" i="2"/>
  <c r="G72" i="2"/>
  <c r="H67" i="2"/>
  <c r="G67" i="2"/>
  <c r="D63" i="2"/>
  <c r="D62" i="2"/>
  <c r="H61" i="2"/>
  <c r="G61" i="2"/>
  <c r="H56" i="2"/>
  <c r="G56" i="2"/>
  <c r="H51" i="2"/>
  <c r="G51" i="2"/>
  <c r="H46" i="2"/>
  <c r="G46" i="2"/>
  <c r="H41" i="2"/>
  <c r="G41" i="2"/>
  <c r="H36" i="2"/>
  <c r="G36" i="2"/>
  <c r="H31" i="2"/>
  <c r="G31" i="2"/>
  <c r="H26" i="2"/>
  <c r="G26" i="2"/>
  <c r="H25" i="2"/>
  <c r="G25" i="2"/>
  <c r="H24" i="2"/>
  <c r="G24" i="2"/>
  <c r="D22" i="2"/>
  <c r="H19" i="2"/>
  <c r="G19" i="2"/>
  <c r="G18" i="2"/>
  <c r="H13" i="2"/>
  <c r="G13" i="2"/>
  <c r="H8" i="2"/>
  <c r="G8" i="2"/>
  <c r="G7" i="2"/>
  <c r="H6" i="2"/>
  <c r="G6" i="2"/>
  <c r="H2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tc={CECC0888-CF4D-4F3B-BB55-180FC1E55C50}</author>
  </authors>
  <commentList>
    <comment ref="C535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<sst xmlns="http://schemas.openxmlformats.org/spreadsheetml/2006/main" count="4558" uniqueCount="1328">
  <si>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</si>
  <si>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</si>
  <si>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</si>
  <si>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</si>
  <si>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</si>
  <si>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</si>
  <si>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</si>
  <si>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</si>
  <si>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</si>
  <si>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ETHANOL</t>
  </si>
  <si>
    <t>corn</t>
  </si>
  <si>
    <t>0,487 - 0,395</t>
  </si>
  <si>
    <t>L/kg Dry Corn</t>
  </si>
  <si>
    <t>https://www.mdpi.com/2227-9717/7/9/578#app1-processes-07-00578</t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</si>
  <si>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</si>
  <si>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</si>
  <si>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</si>
  <si>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</si>
  <si>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</si>
  <si>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</si>
  <si>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</si>
  <si>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</si>
  <si>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</si>
  <si>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</si>
  <si>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</si>
  <si>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</si>
  <si>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</si>
  <si>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</si>
  <si>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</si>
  <si>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</si>
  <si>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</si>
  <si>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</si>
  <si>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</si>
  <si>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</si>
  <si>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</si>
  <si>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</si>
  <si>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</si>
  <si>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</si>
  <si>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</si>
  <si>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</si>
  <si>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</si>
  <si>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</si>
  <si>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</si>
  <si>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</si>
  <si>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</si>
  <si>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</si>
  <si>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</si>
  <si>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</si>
  <si>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</si>
  <si>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</si>
  <si>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</si>
  <si>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</si>
  <si>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</si>
  <si>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</si>
  <si>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</si>
  <si>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</si>
  <si>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</si>
  <si>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</si>
  <si>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</si>
  <si>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</si>
  <si>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</si>
  <si>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</si>
  <si>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</si>
  <si>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</si>
  <si>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wheat germ</t>
  </si>
  <si>
    <t>theoretical yield</t>
  </si>
  <si>
    <t>50% theoretical yield</t>
  </si>
  <si>
    <t>potato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</si>
  <si>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</si>
  <si>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</si>
  <si>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</si>
  <si>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</si>
  <si>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</si>
  <si>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</si>
  <si>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</si>
  <si>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</si>
  <si>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</si>
  <si>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</si>
  <si>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</si>
  <si>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tomato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</si>
  <si>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</si>
  <si>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</si>
  <si>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</si>
  <si>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</si>
  <si>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</si>
  <si>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</si>
  <si>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</si>
  <si>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</si>
  <si>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</si>
  <si>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</si>
  <si>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</si>
  <si>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</si>
  <si>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</si>
  <si>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</si>
  <si>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</si>
  <si>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</si>
  <si>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</si>
  <si>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</si>
  <si>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</si>
  <si>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</si>
  <si>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</si>
  <si>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</si>
  <si>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</si>
  <si>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</si>
  <si>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</si>
  <si>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</si>
  <si>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</si>
  <si>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</si>
  <si>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</si>
  <si>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</si>
  <si>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</si>
  <si>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</si>
  <si>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</si>
  <si>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</si>
  <si>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</si>
  <si>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</si>
  <si>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</si>
  <si>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</si>
  <si>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</si>
  <si>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</si>
  <si>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</si>
  <si>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</si>
  <si>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</si>
  <si>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</si>
  <si>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</si>
  <si>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</si>
  <si>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</si>
  <si>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</si>
  <si>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</si>
  <si>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sugar beet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</si>
  <si>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</si>
  <si>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</si>
  <si>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</si>
  <si>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</si>
  <si>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</si>
  <si>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</si>
  <si>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</si>
  <si>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</si>
  <si>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</si>
  <si>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</si>
  <si>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</si>
  <si>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</si>
  <si>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</si>
  <si>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</si>
  <si>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</si>
  <si>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</si>
  <si>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</si>
  <si>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</si>
  <si>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</si>
  <si>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</si>
  <si>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</si>
  <si>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</si>
  <si>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</si>
  <si>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</si>
  <si>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</si>
  <si>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</si>
  <si>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</si>
  <si>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</si>
  <si>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</si>
  <si>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</si>
  <si>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</si>
  <si>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</si>
  <si>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</si>
  <si>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</si>
  <si>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</si>
  <si>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</si>
  <si>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</si>
  <si>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</si>
  <si>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</si>
  <si>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</si>
  <si>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</si>
  <si>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</si>
  <si>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</si>
  <si>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</si>
  <si>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</si>
  <si>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</si>
  <si>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</si>
  <si>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</si>
  <si>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</si>
  <si>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</si>
  <si>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</si>
  <si>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</si>
  <si>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</si>
  <si>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</si>
  <si>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</si>
  <si>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</si>
  <si>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</si>
  <si>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</si>
  <si>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</si>
  <si>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</si>
  <si>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</si>
  <si>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</si>
  <si>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</si>
  <si>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</si>
  <si>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</si>
  <si>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</si>
  <si>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</si>
  <si>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</si>
  <si>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</si>
  <si>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</si>
  <si>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</si>
  <si>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</si>
  <si>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</si>
  <si>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</si>
  <si>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</si>
  <si>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</si>
  <si>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</si>
  <si>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</si>
  <si>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</si>
  <si>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</si>
  <si>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</si>
  <si>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</si>
  <si>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</si>
  <si>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</si>
  <si>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</si>
  <si>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</si>
  <si>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</si>
  <si>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>apple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</si>
  <si>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</si>
  <si>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</si>
  <si>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</si>
  <si>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</si>
  <si>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</si>
  <si>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</si>
  <si>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</si>
  <si>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</si>
  <si>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</si>
  <si>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</si>
  <si>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</si>
  <si>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</si>
  <si>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</si>
  <si>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</si>
  <si>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</si>
  <si>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</si>
  <si>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</si>
  <si>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</si>
  <si>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</si>
  <si>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</si>
  <si>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</si>
  <si>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</si>
  <si>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</si>
  <si>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</si>
  <si>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</si>
  <si>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</si>
  <si>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</si>
  <si>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</si>
  <si>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</si>
  <si>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</si>
  <si>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</si>
  <si>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</si>
  <si>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</si>
  <si>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</si>
  <si>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</si>
  <si>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</si>
  <si>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</si>
  <si>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</si>
  <si>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</si>
  <si>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</si>
  <si>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</si>
  <si>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</si>
  <si>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</si>
  <si>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</si>
  <si>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</si>
  <si>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</si>
  <si>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</si>
  <si>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</si>
  <si>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</si>
  <si>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</si>
  <si>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</si>
  <si>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</si>
  <si>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</si>
  <si>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</si>
  <si>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</si>
  <si>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</si>
  <si>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</si>
  <si>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</si>
  <si>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</si>
  <si>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</si>
  <si>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</si>
  <si>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</si>
  <si>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</si>
  <si>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</si>
  <si>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</si>
  <si>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</si>
  <si>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</si>
  <si>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</si>
  <si>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</si>
  <si>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</si>
  <si>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</si>
  <si>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</si>
  <si>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</si>
  <si>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</si>
  <si>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</si>
  <si>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</si>
  <si>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</si>
  <si>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</si>
  <si>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</si>
  <si>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</si>
  <si>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</si>
  <si>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</si>
  <si>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</si>
  <si>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</si>
  <si>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</si>
  <si>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</si>
  <si>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</si>
  <si>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</si>
  <si>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</si>
  <si>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</si>
  <si>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</si>
  <si>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</si>
  <si>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</si>
  <si>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</si>
  <si>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</si>
  <si>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</si>
  <si>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</si>
  <si>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</si>
  <si>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</si>
  <si>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</si>
  <si>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</si>
  <si>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</si>
  <si>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</si>
  <si>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</si>
  <si>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</si>
  <si>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</si>
  <si>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</si>
  <si>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</si>
  <si>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</si>
  <si>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</si>
  <si>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</si>
  <si>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</si>
  <si>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</si>
  <si>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</si>
  <si>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</si>
  <si>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</si>
  <si>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</si>
  <si>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</si>
  <si>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</si>
  <si>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</si>
  <si>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</si>
  <si>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</si>
  <si>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</si>
  <si>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FURFURAL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</si>
  <si>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</si>
  <si>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</si>
  <si>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</si>
  <si>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</si>
  <si>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</si>
  <si>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</si>
  <si>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</si>
  <si>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</si>
  <si>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</si>
  <si>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</si>
  <si>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</si>
  <si>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</si>
  <si>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</si>
  <si>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</si>
  <si>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</si>
  <si>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</si>
  <si>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</si>
  <si>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</si>
  <si>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</si>
  <si>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</si>
  <si>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</si>
  <si>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</si>
  <si>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</si>
  <si>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</si>
  <si>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</si>
  <si>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</si>
  <si>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</si>
  <si>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</si>
  <si>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</si>
  <si>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</si>
  <si>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</si>
  <si>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</si>
  <si>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</si>
  <si>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</si>
  <si>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</si>
  <si>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</si>
  <si>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</si>
  <si>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</si>
  <si>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</si>
  <si>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</si>
  <si>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</si>
  <si>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</si>
  <si>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</si>
  <si>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</si>
  <si>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</si>
  <si>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</si>
  <si>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</si>
  <si>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</si>
  <si>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</si>
  <si>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</si>
  <si>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HMF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</si>
  <si>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</si>
  <si>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</si>
  <si>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</si>
  <si>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</si>
  <si>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</si>
  <si>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</si>
  <si>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</si>
  <si>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</si>
  <si>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</si>
  <si>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</si>
  <si>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</si>
  <si>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</si>
  <si>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</si>
  <si>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</si>
  <si>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</si>
  <si>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</si>
  <si>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</si>
  <si>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</si>
  <si>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</si>
  <si>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</si>
  <si>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</si>
  <si>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</si>
  <si>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</si>
  <si>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</si>
  <si>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</si>
  <si>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</si>
  <si>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</si>
  <si>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</si>
  <si>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</si>
  <si>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</si>
  <si>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</si>
  <si>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</si>
  <si>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</si>
  <si>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</si>
  <si>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</si>
  <si>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</si>
  <si>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</si>
  <si>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</si>
  <si>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</si>
  <si>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</si>
  <si>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</si>
  <si>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</si>
  <si>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</si>
  <si>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</si>
  <si>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</si>
  <si>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</si>
  <si>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</si>
  <si>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</si>
  <si>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</si>
  <si>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</si>
  <si>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</si>
  <si>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</si>
  <si>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</si>
  <si>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</si>
  <si>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</si>
  <si>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</si>
  <si>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</si>
  <si>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</si>
  <si>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</si>
  <si>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</si>
  <si>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</si>
  <si>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</si>
  <si>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FDCA</t>
  </si>
  <si>
    <t>t FDCA / 2000 t Corn Stover</t>
  </si>
  <si>
    <t>Sustainable development of biorefineries: integrated assessment method for co-production pathways - Energy &amp; Environmental Science (RSC Publishing)</t>
  </si>
  <si>
    <t>ISOPRENE</t>
  </si>
  <si>
    <t>SUCCINIC ACID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</si>
  <si>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</si>
  <si>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</si>
  <si>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</si>
  <si>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</si>
  <si>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</si>
  <si>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</si>
  <si>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</si>
  <si>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</si>
  <si>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</si>
  <si>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</si>
  <si>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</si>
  <si>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</si>
  <si>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</si>
  <si>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</si>
  <si>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</si>
  <si>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</si>
  <si>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</si>
  <si>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</si>
  <si>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</si>
  <si>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</si>
  <si>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</si>
  <si>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</si>
  <si>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</si>
  <si>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</si>
  <si>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</si>
  <si>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</si>
  <si>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</si>
  <si>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</si>
  <si>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</si>
  <si>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</si>
  <si>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</si>
  <si>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</si>
  <si>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</si>
  <si>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</si>
  <si>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</si>
  <si>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</si>
  <si>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</si>
  <si>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</si>
  <si>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</si>
  <si>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</si>
  <si>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</si>
  <si>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</si>
  <si>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</si>
  <si>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</si>
  <si>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</si>
  <si>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</si>
  <si>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</si>
  <si>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</si>
  <si>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</si>
  <si>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</si>
  <si>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</si>
  <si>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</si>
  <si>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</si>
  <si>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</si>
  <si>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</si>
  <si>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</si>
  <si>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</si>
  <si>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</si>
  <si>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</si>
  <si>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</si>
  <si>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</si>
  <si>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</si>
  <si>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</si>
  <si>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</si>
  <si>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</si>
  <si>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</si>
  <si>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</si>
  <si>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</si>
  <si>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</si>
  <si>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</si>
  <si>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</si>
  <si>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</si>
  <si>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</si>
  <si>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</si>
  <si>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</si>
  <si>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</si>
  <si>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</si>
  <si>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</si>
  <si>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</si>
  <si>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</si>
  <si>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</si>
  <si>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</si>
  <si>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</si>
  <si>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</si>
  <si>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</si>
  <si>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</si>
  <si>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</si>
  <si>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</si>
  <si>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</si>
  <si>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</si>
  <si>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</si>
  <si>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</si>
  <si>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</si>
  <si>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</si>
  <si>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</si>
  <si>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</si>
  <si>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</si>
  <si>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</si>
  <si>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</si>
  <si>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</si>
  <si>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</si>
  <si>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</si>
  <si>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3HP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</si>
  <si>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</si>
  <si>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</si>
  <si>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</si>
  <si>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</si>
  <si>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LEVULINIC ACID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</si>
  <si>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</si>
  <si>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</si>
  <si>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</si>
  <si>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</si>
  <si>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</si>
  <si>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</si>
  <si>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</si>
  <si>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</si>
  <si>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</si>
  <si>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</si>
  <si>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</si>
  <si>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</si>
  <si>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</si>
  <si>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</si>
  <si>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</si>
  <si>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</si>
  <si>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</si>
  <si>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</si>
  <si>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</si>
  <si>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</si>
  <si>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</si>
  <si>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</si>
  <si>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</si>
  <si>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</si>
  <si>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</si>
  <si>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</si>
  <si>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</si>
  <si>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</si>
  <si>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</si>
  <si>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</si>
  <si>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</si>
  <si>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</si>
  <si>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</si>
  <si>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</si>
  <si>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</si>
  <si>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</si>
  <si>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</si>
  <si>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</si>
  <si>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</si>
  <si>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</si>
  <si>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</si>
  <si>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</si>
  <si>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</si>
  <si>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</si>
  <si>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</si>
  <si>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</si>
  <si>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</si>
  <si>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</si>
  <si>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</si>
  <si>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</si>
  <si>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</si>
  <si>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</si>
  <si>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</si>
  <si>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</si>
  <si>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</si>
  <si>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</si>
  <si>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</si>
  <si>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</si>
  <si>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</si>
  <si>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</si>
  <si>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</si>
  <si>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</si>
  <si>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</si>
  <si>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</si>
  <si>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</si>
  <si>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</si>
  <si>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</si>
  <si>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</si>
  <si>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LACTIC ACID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</si>
  <si>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</si>
  <si>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</si>
  <si>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</si>
  <si>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</si>
  <si>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</si>
  <si>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</si>
  <si>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</si>
  <si>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</si>
  <si>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</si>
  <si>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</si>
  <si>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</si>
  <si>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</si>
  <si>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</si>
  <si>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</si>
  <si>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</si>
  <si>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</si>
  <si>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</si>
  <si>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</si>
  <si>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</si>
  <si>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</si>
  <si>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</si>
  <si>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</si>
  <si>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</si>
  <si>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</si>
  <si>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</si>
  <si>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</si>
  <si>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</si>
  <si>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</si>
  <si>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</si>
  <si>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</si>
  <si>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</si>
  <si>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</si>
  <si>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</si>
  <si>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</si>
  <si>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</si>
  <si>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</si>
  <si>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</si>
  <si>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</si>
  <si>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</si>
  <si>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</si>
  <si>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</si>
  <si>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</si>
  <si>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</si>
  <si>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</si>
  <si>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</si>
  <si>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</si>
  <si>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</si>
  <si>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</si>
  <si>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</si>
  <si>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</si>
  <si>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</si>
  <si>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</si>
  <si>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</si>
  <si>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</si>
  <si>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</si>
  <si>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</si>
  <si>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</si>
  <si>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</si>
  <si>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</si>
  <si>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</si>
  <si>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</si>
  <si>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</si>
  <si>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</si>
  <si>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</si>
  <si>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</si>
  <si>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</si>
  <si>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</si>
  <si>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</si>
  <si>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</si>
  <si>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</si>
  <si>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</si>
  <si>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</si>
  <si>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</si>
  <si>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</si>
  <si>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</si>
  <si>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</si>
  <si>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</si>
  <si>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</si>
  <si>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</si>
  <si>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</si>
  <si>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</si>
  <si>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</si>
  <si>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</si>
  <si>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</si>
  <si>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</si>
  <si>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</si>
  <si>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</si>
  <si>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</si>
  <si>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</si>
  <si>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</si>
  <si>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</si>
  <si>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</si>
  <si>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</si>
  <si>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</si>
  <si>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</si>
  <si>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</si>
  <si>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</si>
  <si>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</si>
  <si>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</si>
  <si>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</si>
  <si>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</si>
  <si>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</si>
  <si>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</si>
  <si>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</si>
  <si>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</si>
  <si>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</si>
  <si>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</si>
  <si>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</si>
  <si>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</si>
  <si>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</si>
  <si>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</si>
  <si>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</si>
  <si>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</si>
  <si>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</si>
  <si>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</si>
  <si>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</si>
  <si>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</si>
  <si>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</si>
  <si>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</si>
  <si>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</si>
  <si>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</si>
  <si>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</si>
  <si>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</si>
  <si>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</si>
  <si>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</si>
  <si>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</si>
  <si>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</si>
  <si>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</si>
  <si>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</si>
  <si>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</si>
  <si>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</si>
  <si>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</si>
  <si>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</si>
  <si>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</si>
  <si>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</si>
  <si>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</si>
  <si>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</si>
  <si>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</si>
  <si>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</si>
  <si>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</si>
  <si>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</si>
  <si>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</si>
  <si>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</si>
  <si>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</si>
  <si>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</si>
  <si>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</si>
  <si>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</si>
  <si>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</si>
  <si>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</si>
  <si>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</si>
  <si>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</si>
  <si>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</si>
  <si>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</si>
  <si>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</si>
  <si>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</si>
  <si>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</si>
  <si>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</si>
  <si>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</si>
  <si>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</si>
  <si>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</si>
  <si>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</si>
  <si>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</si>
  <si>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</si>
  <si>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</si>
  <si>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</si>
  <si>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</si>
  <si>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</si>
  <si>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</si>
  <si>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</si>
  <si>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</si>
  <si>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</si>
  <si>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</si>
  <si>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</si>
  <si>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</si>
  <si>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</si>
  <si>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</si>
  <si>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</si>
  <si>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</si>
  <si>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</si>
  <si>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</si>
  <si>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</si>
  <si>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</si>
  <si>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</si>
  <si>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</si>
  <si>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</si>
  <si>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</si>
  <si>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</si>
  <si>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</si>
  <si>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</si>
  <si>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</si>
  <si>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</si>
  <si>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</si>
  <si>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</si>
  <si>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</si>
  <si>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</si>
  <si>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</si>
  <si>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</si>
  <si>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</si>
  <si>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</si>
  <si>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</si>
  <si>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</si>
  <si>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SORBITOL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</si>
  <si>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</si>
  <si>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</si>
  <si>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</si>
  <si>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</si>
  <si>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XYLITOL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</si>
  <si>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</si>
  <si>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</si>
  <si>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</si>
  <si>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</si>
  <si>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</si>
  <si>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</si>
  <si>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</si>
  <si>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</si>
  <si>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</si>
  <si>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</si>
  <si>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</si>
  <si>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</si>
  <si>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</si>
  <si>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</si>
  <si>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</si>
  <si>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</si>
  <si>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</si>
  <si>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</si>
  <si>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</si>
  <si>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</si>
  <si>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</si>
  <si>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</si>
  <si>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</si>
  <si>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</si>
  <si>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</si>
  <si>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</si>
  <si>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</si>
  <si>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</si>
  <si>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</si>
  <si>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</si>
  <si>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</si>
  <si>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</si>
  <si>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</si>
  <si>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</si>
  <si>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</si>
  <si>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</si>
  <si>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</si>
  <si>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</si>
  <si>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</si>
  <si>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</si>
  <si>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</si>
  <si>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</si>
  <si>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</si>
  <si>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</si>
  <si>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</si>
  <si>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</si>
  <si>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</si>
  <si>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</si>
  <si>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</si>
  <si>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</si>
  <si>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</si>
  <si>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</si>
  <si>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</si>
  <si>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</si>
  <si>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</si>
  <si>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</si>
  <si>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</si>
  <si>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</si>
  <si>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</si>
  <si>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</si>
  <si>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</si>
  <si>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</si>
  <si>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</si>
  <si>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</si>
  <si>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</si>
  <si>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</si>
  <si>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</si>
  <si>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</si>
  <si>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</si>
  <si>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</si>
  <si>
    <t>Column1</t>
  </si>
  <si>
    <t>label</t>
  </si>
  <si>
    <t>whole  wheat</t>
  </si>
  <si>
    <t xml:space="preserve">wheat bran </t>
  </si>
  <si>
    <t xml:space="preserve">sugar beet molasses </t>
  </si>
  <si>
    <t xml:space="preserve">corn germ </t>
  </si>
  <si>
    <t>Monte Carlo input workbook</t>
  </si>
  <si>
    <t>Purpose</t>
  </si>
  <si>
    <t>Joint probabilistic sensitivity analysis</t>
  </si>
  <si>
    <t>Run design</t>
  </si>
  <si>
    <t>Pilot</t>
  </si>
  <si>
    <t>500 iterations</t>
  </si>
  <si>
    <t>Test runtime, output structure and infeasible-run handling.</t>
  </si>
  <si>
    <t>Final</t>
  </si>
  <si>
    <t>5,000 iterations</t>
  </si>
  <si>
    <t>Use for final reported results after the pilot succeeds.</t>
  </si>
  <si>
    <t>Sampling</t>
  </si>
  <si>
    <t>Method</t>
  </si>
  <si>
    <t>Latin hypercube</t>
  </si>
  <si>
    <t>Provides more even coverage than simple random sampling.</t>
  </si>
  <si>
    <t>Reporting</t>
  </si>
  <si>
    <t>Quantiles</t>
  </si>
  <si>
    <t>0.05, 0.5, 0.95</t>
  </si>
  <si>
    <t>Report median [5th–95th percentile range], matching the reviewer request.</t>
  </si>
  <si>
    <t>Joint uncertainty</t>
  </si>
  <si>
    <t>Implementation</t>
  </si>
  <si>
    <t>Sample all uncertain parameters together and re-optimise every iteration.</t>
  </si>
  <si>
    <t>MC_eta</t>
  </si>
  <si>
    <t>Multiple usable values</t>
  </si>
  <si>
    <t>Triangular: included minimum – Base eta – included maximum</t>
  </si>
  <si>
    <t>Use the F-column values actually referenced by the yield-sheet AVERAGE formula.</t>
  </si>
  <si>
    <t>Single usable value</t>
  </si>
  <si>
    <t>Triangular: 80% – Base eta – 120%</t>
  </si>
  <si>
    <t>Use ±20% for a single literature or theoretical value.</t>
  </si>
  <si>
    <t>MC_FL</t>
  </si>
  <si>
    <t>Availability</t>
  </si>
  <si>
    <t>Triangular: 80% – Base availability – 120%</t>
  </si>
  <si>
    <t>Represents uncertainty in FL/FLB availability.</t>
  </si>
  <si>
    <t>MC_GWP</t>
  </si>
  <si>
    <t>Non-zero value</t>
  </si>
  <si>
    <t>Triangular: 80% – Base GWP – 120%</t>
  </si>
  <si>
    <t>Zero GWP values remain constant.</t>
  </si>
  <si>
    <t>MC_profit</t>
  </si>
  <si>
    <t>Economic margin</t>
  </si>
  <si>
    <t>Triangular: 70% – Base margin – 130%</t>
  </si>
  <si>
    <t>Use ±30% for techno-economic margin uncertainty.</t>
  </si>
  <si>
    <t>Composition</t>
  </si>
  <si>
    <t>Treatment</t>
  </si>
  <si>
    <t>Not sampled separately</t>
  </si>
  <si>
    <t>Composition is embodied in effective yield; separate sampling could double count uncertainty.</t>
  </si>
  <si>
    <t>Demand</t>
  </si>
  <si>
    <t>Fixed</t>
  </si>
  <si>
    <t>Chemical demand remains fixed in the principal Monte Carlo analysis.</t>
  </si>
  <si>
    <t>Reproducibility</t>
  </si>
  <si>
    <t>Random seed</t>
  </si>
  <si>
    <t>20260802</t>
  </si>
  <si>
    <t>The same seed reproduces the same sample.</t>
  </si>
  <si>
    <t>Output</t>
  </si>
  <si>
    <t>Headline figures</t>
  </si>
  <si>
    <t>Median [P5–P95]</t>
  </si>
  <si>
    <t>Avoid unnecessary decimal precision.</t>
  </si>
  <si>
    <t>Monte Carlo run settings</t>
  </si>
  <si>
    <t>Setting</t>
  </si>
  <si>
    <t>Value</t>
  </si>
  <si>
    <t>Required?</t>
  </si>
  <si>
    <t>Notes</t>
  </si>
  <si>
    <t>pilot_iterations</t>
  </si>
  <si>
    <t>Yes</t>
  </si>
  <si>
    <t>Initial test run.</t>
  </si>
  <si>
    <t>final_iterations</t>
  </si>
  <si>
    <t>Final analysis after pilot checks.</t>
  </si>
  <si>
    <t>random_seed</t>
  </si>
  <si>
    <t>Fixed seed for reproducibility.</t>
  </si>
  <si>
    <t>sampling_method</t>
  </si>
  <si>
    <t>latin_hypercube</t>
  </si>
  <si>
    <t>Stratified probability-space sampling.</t>
  </si>
  <si>
    <t>objectives</t>
  </si>
  <si>
    <t>Env,Eco</t>
  </si>
  <si>
    <t>Run each sampled dataset under both objectives.</t>
  </si>
  <si>
    <t>quantiles</t>
  </si>
  <si>
    <t>0.05,0.5,0.95</t>
  </si>
  <si>
    <t>Median and reviewer-requested P5–P95 interval.</t>
  </si>
  <si>
    <t>headline_reporting</t>
  </si>
  <si>
    <t>median [P5–P95]</t>
  </si>
  <si>
    <t>Round to sensible precision.</t>
  </si>
  <si>
    <t>store_full_w</t>
  </si>
  <si>
    <t>No</t>
  </si>
  <si>
    <t>Store non-zero pathways or selection frequencies.</t>
  </si>
  <si>
    <t>store_sampled_inputs</t>
  </si>
  <si>
    <t>Recommended</t>
  </si>
  <si>
    <t>Supports reproducibility and sensitivity analysis.</t>
  </si>
  <si>
    <t>infeasible_run_policy</t>
  </si>
  <si>
    <t>record_and_continue</t>
  </si>
  <si>
    <t>Record failures; never silently discard them.</t>
  </si>
  <si>
    <t>GWP_zero_policy</t>
  </si>
  <si>
    <t>fixed_zero_plus_scenario</t>
  </si>
  <si>
    <t>Keep zero GWP coefficients constant.</t>
  </si>
  <si>
    <t>correlation_mode</t>
  </si>
  <si>
    <t>group_multiplier_optional</t>
  </si>
  <si>
    <t>Correlation group IDs are included for later use.</t>
  </si>
  <si>
    <t>Include</t>
  </si>
  <si>
    <t>Feedstock ID</t>
  </si>
  <si>
    <t>Feedstock name</t>
  </si>
  <si>
    <t>Chemical ID</t>
  </si>
  <si>
    <t>Chemical name</t>
  </si>
  <si>
    <t>Base eta</t>
  </si>
  <si>
    <t>Distribution</t>
  </si>
  <si>
    <t>Lower</t>
  </si>
  <si>
    <t>Mode</t>
  </si>
  <si>
    <t>Upper</t>
  </si>
  <si>
    <t>Suggested fallback lower</t>
  </si>
  <si>
    <t>Suggested fallback upper</t>
  </si>
  <si>
    <t>Physical lower</t>
  </si>
  <si>
    <t>Physical upper</t>
  </si>
  <si>
    <t>Correlation group</t>
  </si>
  <si>
    <t>Range basis / source</t>
  </si>
  <si>
    <t>triangular</t>
  </si>
  <si>
    <t>ETA_ETHANOL</t>
  </si>
  <si>
    <t>Actual standardized values referenced by the yield-sheet AVERAGE formula (yield row(s) 8, 9, 10, 11, 12; n=5). Lower/Upper are the included minimum/maximum; Mode is Base eta.</t>
  </si>
  <si>
    <t>Multi-value triangular distribution based on the values actually included in the average.</t>
  </si>
  <si>
    <t>ETA_FURFURAL</t>
  </si>
  <si>
    <t>Single theoretical standardized value at yield row 128; ±20% fallback around Base eta.</t>
  </si>
  <si>
    <t>Lower = 0.8 × Base eta; Mode = Base eta; Upper = 1.2 × Base eta.</t>
  </si>
  <si>
    <t>ETA_HMF</t>
  </si>
  <si>
    <t>Single theoretical standardized value at yield row 170; ±20% fallback around Base eta.</t>
  </si>
  <si>
    <t>ETA_FDCA</t>
  </si>
  <si>
    <t>Single theoretical standardized value at yield row 212; ±20% fallback around Base eta.</t>
  </si>
  <si>
    <t>ETA_ISOPRENE</t>
  </si>
  <si>
    <t>Single theoretical standardized value at yield row 243; ±20% fallback around Base eta.</t>
  </si>
  <si>
    <t>ETA_SUCCINIC_ACID</t>
  </si>
  <si>
    <t>Actual standardized values referenced by the yield-sheet AVERAGE formula (yield row(s) 278, 279, 280, 281, 282; n=5). Lower/Upper are the included minimum/maximum; Mode is Base eta.</t>
  </si>
  <si>
    <t>ETA_3HP</t>
  </si>
  <si>
    <t>Single theoretical standardized value at yield row 325; ±20% fallback around Base eta.</t>
  </si>
  <si>
    <t>ETA_LEVULINIC_ACID</t>
  </si>
  <si>
    <t>Actual standardized values referenced by the yield-sheet AVERAGE formula (yield row(s) 360, 361; n=2). Lower/Upper are the included minimum/maximum; Mode is Base eta.</t>
  </si>
  <si>
    <t>ETA_LACTIC_ACID</t>
  </si>
  <si>
    <t>Actual standardized values referenced by the yield-sheet AVERAGE formula (yield row(s) 403, 404, 405, 406; n=4). Lower/Upper are the included minimum/maximum; Mode is Base eta.</t>
  </si>
  <si>
    <t>ETA_SORBITOL</t>
  </si>
  <si>
    <t>Single theoretical standardized value at yield row 487; ±20% fallback around Base eta.</t>
  </si>
  <si>
    <t>ETA_XYLITOL</t>
  </si>
  <si>
    <t>Single theoretical standardized value at yield row 522; ±20% fallback around Base eta.</t>
  </si>
  <si>
    <t>Actual standardized values referenced by the yield-sheet AVERAGE formula (yield row(s) 13, 14, 15, 16, 17; n=5). Lower/Upper are the included minimum/maximum; Mode is Base eta.</t>
  </si>
  <si>
    <t>Single theoretical standardized value at yield row 129; ±20% fallback around Base eta.</t>
  </si>
  <si>
    <t>Single theoretical standardized value at yield row 171; ±20% fallback around Base eta.</t>
  </si>
  <si>
    <t>Single theoretical standardized value at yield row 213; ±20% fallback around Base eta.</t>
  </si>
  <si>
    <t>Single theoretical standardized value at yield row 244; ±20% fallback around Base eta.</t>
  </si>
  <si>
    <t>Actual standardized values referenced by the yield-sheet AVERAGE formula (yield row(s) 283, 284; n=2). Lower/Upper are the included minimum/maximum; Mode is Base eta.</t>
  </si>
  <si>
    <t>Single theoretical standardized value at yield row 326; ±20% fallback around Base eta.</t>
  </si>
  <si>
    <t>Single theoretical standardized value at yield row 362; ±20% fallback around Base eta.</t>
  </si>
  <si>
    <t>Actual standardized values referenced by the yield-sheet AVERAGE formula (yield row(s) 407, 408, 409, 410, 411; n=5). Lower/Upper are the included minimum/maximum; Mode is Base eta.</t>
  </si>
  <si>
    <t>Single theoretical standardized value at yield row 488; ±20% fallback around Base eta.</t>
  </si>
  <si>
    <t>Actual standardized values referenced by the yield-sheet AVERAGE formula (yield row(s) 523, 524, 525; n=3). Lower/Upper are the included minimum/maximum; Mode is Base eta.</t>
  </si>
  <si>
    <t>Single theoretical standardized value at yield row 18; ±20% fallback around Base eta.</t>
  </si>
  <si>
    <t>constant</t>
  </si>
  <si>
    <t>No supported pathway in the base eta matrix; eta fixed at 0.</t>
  </si>
  <si>
    <t>Structural or unsupported pathway; not sampled.</t>
  </si>
  <si>
    <t>Single theoretical standardized value at yield row 172; ±20% fallback around Base eta.</t>
  </si>
  <si>
    <t>Single theoretical standardized value at yield row 214; ±20% fallback around Base eta.</t>
  </si>
  <si>
    <t>Single theoretical standardized value at yield row 245; ±20% fallback around Base eta.</t>
  </si>
  <si>
    <t>Single theoretical standardized value at yield row 285; ±20% fallback around Base eta.</t>
  </si>
  <si>
    <t>Single theoretical standardized value at yield row 327; ±20% fallback around Base eta.</t>
  </si>
  <si>
    <t>Single theoretical standardized value at yield row 363; ±20% fallback around Base eta.</t>
  </si>
  <si>
    <t>Single theoretical standardized value at yield row 412; ±20% fallback around Base eta.</t>
  </si>
  <si>
    <t>Single theoretical standardized value at yield row 489; ±20% fallback around Base eta.</t>
  </si>
  <si>
    <t>Actual standardized values referenced by the yield-sheet AVERAGE formula (yield row(s) 19, 20, 21, 22, 23; n=5). Lower/Upper are the included minimum/maximum; Mode is Base eta.</t>
  </si>
  <si>
    <t>Single theoretical standardized value at yield row 131; ±20% fallback around Base eta.</t>
  </si>
  <si>
    <t>Single standardized literature value at yield row 173; ±20% fallback around Base eta.</t>
  </si>
  <si>
    <t>Single theoretical standardized value at yield row 215; ±20% fallback around Base eta.</t>
  </si>
  <si>
    <t>Single theoretical standardized value at yield row 246; ±20% fallback around Base eta.</t>
  </si>
  <si>
    <t>Single standardized literature value at yield row 286; ±20% fallback around Base eta.</t>
  </si>
  <si>
    <t>Single theoretical standardized value at yield row 328; ±20% fallback around Base eta.</t>
  </si>
  <si>
    <t>Single theoretical standardized value at yield row 364; ±20% fallback around Base eta.</t>
  </si>
  <si>
    <t>Actual standardized values referenced by the yield-sheet AVERAGE formula (yield row(s) 413, 414, 415, 416, 417; n=5). Lower/Upper are the included minimum/maximum; Mode is Base eta.</t>
  </si>
  <si>
    <t>Single theoretical standardized value at yield row 490; ±20% fallback around Base eta.</t>
  </si>
  <si>
    <t>Single theoretical standardized value at yield row 527; ±20% fallback around Base eta.</t>
  </si>
  <si>
    <t>Actual standardized values referenced by the yield-sheet AVERAGE formula (yield row(s) 100, 101; n=2). Lower/Upper are the included minimum/maximum; Mode is Base eta.</t>
  </si>
  <si>
    <t>Single theoretical standardized value at yield row 158; ±20% fallback around Base eta.</t>
  </si>
  <si>
    <t>Single theoretical standardized value at yield row 202; ±20% fallback around Base eta.</t>
  </si>
  <si>
    <t>Single theoretical standardized value at yield row 233; ±20% fallback around Base eta.</t>
  </si>
  <si>
    <t>Single theoretical standardized value at yield row 264; ±20% fallback around Base eta.</t>
  </si>
  <si>
    <t>Single theoretical standardized value at yield row 314; ±20% fallback around Base eta.</t>
  </si>
  <si>
    <t>Single theoretical standardized value at yield row 346; ±20% fallback around Base eta.</t>
  </si>
  <si>
    <t>Single theoretical standardized value at yield row 390; ±20% fallback around Base eta.</t>
  </si>
  <si>
    <t>Single theoretical standardized value at yield row 471; ±20% fallback around Base eta.</t>
  </si>
  <si>
    <t>Single theoretical standardized value at yield row 508; ±20% fallback around Base eta.</t>
  </si>
  <si>
    <t>Single theoretical standardized value at yield row 555; ±20% fallback around Base eta.</t>
  </si>
  <si>
    <t>Actual standardized values referenced by the yield-sheet AVERAGE formula (yield row(s) 41, 42, 43, 44, 45; n=5). Lower/Upper are the included minimum/maximum; Mode is Base eta.</t>
  </si>
  <si>
    <t>Single theoretical standardized value at yield row 141; ±20% fallback around Base eta.</t>
  </si>
  <si>
    <t>Actual standardized values referenced by the yield-sheet AVERAGE formula (yield row(s) 183, 184; n=2). Lower/Upper are the included minimum/maximum; Mode is Base eta.</t>
  </si>
  <si>
    <t>Single theoretical standardized value at yield row 221; ±20% fallback around Base eta.</t>
  </si>
  <si>
    <t>Single theoretical standardized value at yield row 252; ±20% fallback around Base eta.</t>
  </si>
  <si>
    <t>Single theoretical standardized value at yield row 299; ±20% fallback around Base eta.</t>
  </si>
  <si>
    <t>Single theoretical standardized value at yield row 334; ±20% fallback around Base eta.</t>
  </si>
  <si>
    <t>Single theoretical standardized value at yield row 374; ±20% fallback around Base eta.</t>
  </si>
  <si>
    <t>Single theoretical standardized value at yield row 436; ±20% fallback around Base eta.</t>
  </si>
  <si>
    <t>Single theoretical standardized value at yield row 496; ±20% fallback around Base eta.</t>
  </si>
  <si>
    <t>Single theoretical standardized value at yield row 541; ±20% fallback around Base eta.</t>
  </si>
  <si>
    <t>Actual standardized values referenced by the yield-sheet AVERAGE formula (yield row(s) 46, 47, 48, 49, 50; n=5). Lower/Upper are the included minimum/maximum; Mode is Base eta.</t>
  </si>
  <si>
    <t>Actual standardized values referenced by the yield-sheet AVERAGE formula (yield row(s) 142, 143; n=2). Lower/Upper are the included minimum/maximum; Mode is Base eta.</t>
  </si>
  <si>
    <t>Single standardized literature value at yield row 185; ±20% fallback around Base eta.</t>
  </si>
  <si>
    <t>Single theoretical standardized value at yield row 222; ±20% fallback around Base eta.</t>
  </si>
  <si>
    <t>Single theoretical standardized value at yield row 253; ±20% fallback around Base eta.</t>
  </si>
  <si>
    <t>Single standardized literature value at yield row 300; ±20% fallback around Base eta.</t>
  </si>
  <si>
    <t>Single theoretical standardized value at yield row 335; ±20% fallback around Base eta.</t>
  </si>
  <si>
    <t>Single theoretical standardized value at yield row 375; ±20% fallback around Base eta.</t>
  </si>
  <si>
    <t>Actual standardized values referenced by the yield-sheet AVERAGE formula (yield row(s) 437, 438, 439; n=3). Lower/Upper are the included minimum/maximum; Mode is Base eta.</t>
  </si>
  <si>
    <t>Single theoretical standardized value at yield row 497; ±20% fallback around Base eta.</t>
  </si>
  <si>
    <t>Single theoretical standardized value at yield row 542; ±20% fallback around Base eta.</t>
  </si>
  <si>
    <t>Actual standardized values referenced by the yield-sheet AVERAGE formula (yield row(s) 51, 52, 53, 54, 55; n=5). Lower/Upper are the included minimum/maximum; Mode is Base eta.</t>
  </si>
  <si>
    <t>Single theoretical standardized value at yield row 144; ±20% fallback around Base eta.</t>
  </si>
  <si>
    <t>Single theoretical standardized value at yield row 186; ±20% fallback around Base eta.</t>
  </si>
  <si>
    <t>Single theoretical standardized value at yield row 223; ±20% fallback around Base eta.</t>
  </si>
  <si>
    <t>Single theoretical standardized value at yield row 254; ±20% fallback around Base eta.</t>
  </si>
  <si>
    <t>Single standardized literature value at yield row 301; ±20% fallback around Base eta.</t>
  </si>
  <si>
    <t>Single theoretical standardized value at yield row 336; ±20% fallback around Base eta.</t>
  </si>
  <si>
    <t>Single standardized literature value at yield row 376; ±20% fallback around Base eta.</t>
  </si>
  <si>
    <t>Actual standardized values referenced by the yield-sheet AVERAGE formula (yield row(s) 440, 441, 442, 443, 444; n=5). Lower/Upper are the included minimum/maximum; Mode is Base eta.</t>
  </si>
  <si>
    <t>Single theoretical standardized value at yield row 498; ±20% fallback around Base eta.</t>
  </si>
  <si>
    <t>Single theoretical standardized value at yield row 543; ±20% fallback around Base eta.</t>
  </si>
  <si>
    <t>Actual standardized values referenced by the yield-sheet AVERAGE formula (yield row(s) 2, 3, 4, 5; n=4). Lower/Upper are the included minimum/maximum; Mode is Base eta.</t>
  </si>
  <si>
    <t>Actual standardized values referenced by the yield-sheet AVERAGE formula (yield row(s) 121, 122, 123, 124, 125; n=5). Lower/Upper are the included minimum/maximum; Mode is Base eta.</t>
  </si>
  <si>
    <t>Actual standardized values referenced by the yield-sheet AVERAGE formula (yield row(s) 165, 166, 167; n=3). Lower/Upper are the included minimum/maximum; Mode is Base eta. Cross-group reference(s) ignored: 163, 164.</t>
  </si>
  <si>
    <t>Single standardized literature value at yield row 209; ±20% fallback around Base eta.</t>
  </si>
  <si>
    <t>Single theoretical standardized value at yield row 240; ±20% fallback around Base eta.</t>
  </si>
  <si>
    <t>Actual standardized values referenced by the yield-sheet AVERAGE formula (yield row(s) 271, 272, 273, 274, 275; n=5). Lower/Upper are the included minimum/maximum; Mode is Base eta.</t>
  </si>
  <si>
    <t>Single standardized literature value at yield row 322; ±20% fallback around Base eta.</t>
  </si>
  <si>
    <t>Actual standardized values referenced by the yield-sheet AVERAGE formula (yield row(s) 353, 355, 356, 357; n=4). Lower/Upper are the included minimum/maximum; Mode is Base eta. Excluded numeric row(s): 354.</t>
  </si>
  <si>
    <t>Actual standardized values referenced by the yield-sheet AVERAGE formula (yield row(s) 397, 398, 399, 400; n=4). Lower/Upper are the included minimum/maximum; Mode is Base eta.</t>
  </si>
  <si>
    <t>Single theoretical standardized value at yield row 484; ±20% fallback around Base eta.</t>
  </si>
  <si>
    <t>Actual standardized values referenced by the yield-sheet AVERAGE formula (yield row(s) 515, 516, 517, 518, 519; n=5). Lower/Upper are the included minimum/maximum; Mode is Base eta.</t>
  </si>
  <si>
    <t>Single standardized literature value at yield row 6; ±20% fallback around Base eta.</t>
  </si>
  <si>
    <t>Single theoretical standardized value at yield row 168; ±20% fallback around Base eta.</t>
  </si>
  <si>
    <t>Single theoretical standardized value at yield row 210; ±20% fallback around Base eta.</t>
  </si>
  <si>
    <t>Single theoretical standardized value at yield row 241; ±20% fallback around Base eta.</t>
  </si>
  <si>
    <t>Single theoretical standardized value at yield row 276; ±20% fallback around Base eta.</t>
  </si>
  <si>
    <t>Single theoretical standardized value at yield row 323; ±20% fallback around Base eta.</t>
  </si>
  <si>
    <t>Single theoretical standardized value at yield row 358; ±20% fallback around Base eta.</t>
  </si>
  <si>
    <t>Single theoretical standardized value at yield row 401; ±20% fallback around Base eta.</t>
  </si>
  <si>
    <t>Single theoretical standardized value at yield row 485; ±20% fallback around Base eta.</t>
  </si>
  <si>
    <t>Single standardized literature value at yield row 7; ±20% fallback around Base eta.</t>
  </si>
  <si>
    <t>Single theoretical standardized value at yield row 127; ±20% fallback around Base eta.</t>
  </si>
  <si>
    <t>Single theoretical standardized value at yield row 169; ±20% fallback around Base eta.</t>
  </si>
  <si>
    <t>Single theoretical standardized value at yield row 211; ±20% fallback around Base eta.</t>
  </si>
  <si>
    <t>Single theoretical standardized value at yield row 242; ±20% fallback around Base eta.</t>
  </si>
  <si>
    <t>Single theoretical standardized value at yield row 277; ±20% fallback around Base eta.</t>
  </si>
  <si>
    <t>Single theoretical standardized value at yield row 324; ±20% fallback around Base eta.</t>
  </si>
  <si>
    <t>Single theoretical standardized value at yield row 359; ±20% fallback around Base eta.</t>
  </si>
  <si>
    <t>Single theoretical standardized value at yield row 402; ±20% fallback around Base eta.</t>
  </si>
  <si>
    <t>Single theoretical standardized value at yield row 486; ±20% fallback around Base eta.</t>
  </si>
  <si>
    <t>Single theoretical standardized value at yield row 521; ±20% fallback around Base eta.</t>
  </si>
  <si>
    <t>Actual standardized values referenced by the yield-sheet AVERAGE formula (yield row(s) 108, 109, 110, 111, 112; n=5). Lower/Upper are the included minimum/maximum; Mode is Base eta.</t>
  </si>
  <si>
    <t>Single theoretical standardized value at yield row 161; ±20% fallback around Base eta.</t>
  </si>
  <si>
    <t>Single standardized literature value at yield row 205; ±20% fallback around Base eta.</t>
  </si>
  <si>
    <t>Single theoretical standardized value at yield row 236; ±20% fallback around Base eta.</t>
  </si>
  <si>
    <t>Single theoretical standardized value at yield row 267; ±20% fallback around Base eta.</t>
  </si>
  <si>
    <t>Single theoretical standardized value at yield row 317; ±20% fallback around Base eta.</t>
  </si>
  <si>
    <t>Single theoretical standardized value at yield row 349; ±20% fallback around Base eta.</t>
  </si>
  <si>
    <t>Single theoretical standardized value at yield row 393; ±20% fallback around Base eta.</t>
  </si>
  <si>
    <t>Single theoretical standardized value at yield row 476; ±20% fallback around Base eta.</t>
  </si>
  <si>
    <t>Single theoretical standardized value at yield row 511; ±20% fallback around Base eta.</t>
  </si>
  <si>
    <t>Single theoretical standardized value at yield row 558; ±20% fallback around Base eta.</t>
  </si>
  <si>
    <t>Actual standardized values referenced by the yield-sheet AVERAGE formula (yield row(s) 113, 114, 115, 116, 117; n=5). Lower/Upper are the included minimum/maximum; Mode is Base eta.</t>
  </si>
  <si>
    <t>Single theoretical standardized value at yield row 162; ±20% fallback around Base eta.</t>
  </si>
  <si>
    <t>Single standardized literature value at yield row 206; ±20% fallback around Base eta.</t>
  </si>
  <si>
    <t>Single theoretical standardized value at yield row 237; ±20% fallback around Base eta.</t>
  </si>
  <si>
    <t>Single theoretical standardized value at yield row 268; ±20% fallback around Base eta.</t>
  </si>
  <si>
    <t>Single theoretical standardized value at yield row 318; ±20% fallback around Base eta.</t>
  </si>
  <si>
    <t>Single theoretical standardized value at yield row 350; ±20% fallback around Base eta.</t>
  </si>
  <si>
    <t>Single theoretical standardized value at yield row 394; ±20% fallback around Base eta.</t>
  </si>
  <si>
    <t>Actual standardized values referenced by the yield-sheet AVERAGE formula (yield row(s) 477, 478, 479, 480, 481; n=5). Lower/Upper are the included minimum/maximum; Mode is Base eta.</t>
  </si>
  <si>
    <t>Single theoretical standardized value at yield row 512; ±20% fallback around Base eta.</t>
  </si>
  <si>
    <t>Actual standardized values referenced by the yield-sheet AVERAGE formula (yield row(s) 559, 560, 561, 562, 563; n=5). Lower/Upper are the included minimum/maximum; Mode is Base eta.</t>
  </si>
  <si>
    <t>Non-average source formula at yield row 118; ±20% fallback around Base eta.</t>
  </si>
  <si>
    <t>Single theoretical standardized value at yield row 163; ±20% fallback around Base eta.</t>
  </si>
  <si>
    <t>Single theoretical standardized value at yield row 207; ±20% fallback around Base eta.</t>
  </si>
  <si>
    <t>Single theoretical standardized value at yield row 238; ±20% fallback around Base eta.</t>
  </si>
  <si>
    <t>Single theoretical standardized value at yield row 269; ±20% fallback around Base eta.</t>
  </si>
  <si>
    <t>Single theoretical standardized value at yield row 320; ±20% fallback around Base eta.</t>
  </si>
  <si>
    <t>Single theoretical standardized value at yield row 351; ±20% fallback around Base eta.</t>
  </si>
  <si>
    <t>Single theoretical standardized value at yield row 395; ±20% fallback around Base eta.</t>
  </si>
  <si>
    <t>Single theoretical standardized value at yield row 482; ±20% fallback around Base eta.</t>
  </si>
  <si>
    <t>Single theoretical standardized value at yield row 513; ±20% fallback around Base eta.</t>
  </si>
  <si>
    <t>Single theoretical standardized value at yield row 564; ±20% fallback around Base eta.</t>
  </si>
  <si>
    <t>Single theoretical standardized value at yield row 120; ±20% fallback around Base eta.</t>
  </si>
  <si>
    <t>Single theoretical standardized value at yield row 164; ±20% fallback around Base eta.</t>
  </si>
  <si>
    <t>Single theoretical standardized value at yield row 208; ±20% fallback around Base eta.</t>
  </si>
  <si>
    <t>Single theoretical standardized value at yield row 239; ±20% fallback around Base eta.</t>
  </si>
  <si>
    <t>Single theoretical standardized value at yield row 270; ±20% fallback around Base eta.</t>
  </si>
  <si>
    <t>Single standardized literature value at yield row 321; ±20% fallback around Base eta.</t>
  </si>
  <si>
    <t>Single theoretical standardized value at yield row 352; ±20% fallback around Base eta.</t>
  </si>
  <si>
    <t>Single theoretical standardized value at yield row 396; ±20% fallback around Base eta.</t>
  </si>
  <si>
    <t>Single theoretical standardized value at yield row 514; ±20% fallback around Base eta.</t>
  </si>
  <si>
    <t>Single theoretical standardized value at yield row 565; ±20% fallback around Base eta.</t>
  </si>
  <si>
    <t>Single standardized literature value at yield row 24; ±20% fallback around Base eta.</t>
  </si>
  <si>
    <t>Single theoretical standardized value at yield row 132; ±20% fallback around Base eta.</t>
  </si>
  <si>
    <t>Single theoretical standardized value at yield row 174; ±20% fallback around Base eta.</t>
  </si>
  <si>
    <t>Single theoretical standardized value at yield row 216; ±20% fallback around Base eta.</t>
  </si>
  <si>
    <t>Single theoretical standardized value at yield row 247; ±20% fallback around Base eta.</t>
  </si>
  <si>
    <t>Single theoretical standardized value at yield row 287; ±20% fallback around Base eta.</t>
  </si>
  <si>
    <t>Single theoretical standardized value at yield row 329; ±20% fallback around Base eta.</t>
  </si>
  <si>
    <t>Single theoretical standardized value at yield row 365; ±20% fallback around Base eta.</t>
  </si>
  <si>
    <t>Single theoretical standardized value at yield row 418; ±20% fallback around Base eta.</t>
  </si>
  <si>
    <t>Single theoretical standardized value at yield row 491; ±20% fallback around Base eta.</t>
  </si>
  <si>
    <t>Single theoretical standardized value at yield row 528; ±20% fallback around Base eta.</t>
  </si>
  <si>
    <t>Single standardized literature value at yield row 25; ±20% fallback around Base eta.</t>
  </si>
  <si>
    <t>Single theoretical standardized value at yield row 133; ±20% fallback around Base eta.</t>
  </si>
  <si>
    <t>Single theoretical standardized value at yield row 175; ±20% fallback around Base eta.</t>
  </si>
  <si>
    <t>Single theoretical standardized value at yield row 217; ±20% fallback around Base eta.</t>
  </si>
  <si>
    <t>Single theoretical standardized value at yield row 248; ±20% fallback around Base eta.</t>
  </si>
  <si>
    <t>Single theoretical standardized value at yield row 288; ±20% fallback around Base eta.</t>
  </si>
  <si>
    <t>Single theoretical standardized value at yield row 330; ±20% fallback around Base eta.</t>
  </si>
  <si>
    <t>Single theoretical standardized value at yield row 366; ±20% fallback around Base eta.</t>
  </si>
  <si>
    <t>Actual standardized values referenced by the yield-sheet AVERAGE formula (yield row(s) 419, 420; n=2). Lower/Upper are the included minimum/maximum; Mode is Base eta.</t>
  </si>
  <si>
    <t>Single theoretical standardized value at yield row 492; ±20% fallback around Base eta.</t>
  </si>
  <si>
    <t>Single theoretical standardized value at yield row 529; ±20% fallback around Base eta.</t>
  </si>
  <si>
    <t>Actual standardized values referenced by the yield-sheet AVERAGE formula (yield row(s) 72, 73, 74, 75, 76; n=5). Lower/Upper are the included minimum/maximum; Mode is Base eta.</t>
  </si>
  <si>
    <t>Single theoretical standardized value at yield row 152; ±20% fallback around Base eta.</t>
  </si>
  <si>
    <t>Single theoretical standardized value at yield row 195; ±20% fallback around Base eta.</t>
  </si>
  <si>
    <t>Single theoretical standardized value at yield row 227; ±20% fallback around Base eta.</t>
  </si>
  <si>
    <t>Single theoretical standardized value at yield row 258; ±20% fallback around Base eta.</t>
  </si>
  <si>
    <t>Single theoretical standardized value at yield row 305; ±20% fallback around Base eta.</t>
  </si>
  <si>
    <t>Single theoretical standardized value at yield row 340; ±20% fallback around Base eta.</t>
  </si>
  <si>
    <t>Single theoretical standardized value at yield row 383; ±20% fallback around Base eta.</t>
  </si>
  <si>
    <t>Actual standardized values referenced by the yield-sheet AVERAGE formula (yield row(s) 456, 457, 458; n=3). Lower/Upper are the included minimum/maximum; Mode is Base eta.</t>
  </si>
  <si>
    <t>Single theoretical standardized value at yield row 502; ±20% fallback around Base eta.</t>
  </si>
  <si>
    <t>Single theoretical standardized value at yield row 548; ±20% fallback around Base eta.</t>
  </si>
  <si>
    <t>Actual standardized values referenced by the yield-sheet AVERAGE formula (yield row(s) 77, 78, 79, 80, 81; n=5). Lower/Upper are the included minimum/maximum; Mode is Base eta.</t>
  </si>
  <si>
    <t>Single theoretical standardized value at yield row 153; ±20% fallback around Base eta.</t>
  </si>
  <si>
    <t>Single standardized literature value at yield row 196; ±20% fallback around Base eta.</t>
  </si>
  <si>
    <t>Single theoretical standardized value at yield row 228; ±20% fallback around Base eta.</t>
  </si>
  <si>
    <t>Single theoretical standardized value at yield row 259; ±20% fallback around Base eta.</t>
  </si>
  <si>
    <t>Single theoretical standardized value at yield row 306; ±20% fallback around Base eta.</t>
  </si>
  <si>
    <t>Single theoretical standardized value at yield row 341; ±20% fallback around Base eta.</t>
  </si>
  <si>
    <t>Single theoretical standardized value at yield row 384; ±20% fallback around Base eta.</t>
  </si>
  <si>
    <t>Actual standardized values referenced by the yield-sheet AVERAGE formula (yield row(s) 459, 460, 461; n=3). Lower/Upper are the included minimum/maximum; Mode is Base eta.</t>
  </si>
  <si>
    <t>Single theoretical standardized value at yield row 503; ±20% fallback around Base eta.</t>
  </si>
  <si>
    <t>Single theoretical standardized value at yield row 549; ±20% fallback around Base eta.</t>
  </si>
  <si>
    <t>Base availability</t>
  </si>
  <si>
    <t>Low factor</t>
  </si>
  <si>
    <t>High factor</t>
  </si>
  <si>
    <t>Data quality</t>
  </si>
  <si>
    <t>Source / basis</t>
  </si>
  <si>
    <t>Medium</t>
  </si>
  <si>
    <t>WHEAT_SYSTEM</t>
  </si>
  <si>
    <t>Regional FL/FLB availability from the base-model FL sheet.</t>
  </si>
  <si>
    <t>Default ±20% triangular uncertainty.</t>
  </si>
  <si>
    <t>POTATO_SYSTEM</t>
  </si>
  <si>
    <t>SUGAR_BEET_SYSTEM</t>
  </si>
  <si>
    <t>CORN_SYSTEM</t>
  </si>
  <si>
    <t>BARLEY_SYSTEM</t>
  </si>
  <si>
    <t>RAPESEED_SYSTEM</t>
  </si>
  <si>
    <t>TOMATO_SYSTEM</t>
  </si>
  <si>
    <t>APPLE_SYSTEM</t>
  </si>
  <si>
    <t>Base GWP saving</t>
  </si>
  <si>
    <t>Zero treatment</t>
  </si>
  <si>
    <t>not_applicable</t>
  </si>
  <si>
    <t>GWP_ETHANOL</t>
  </si>
  <si>
    <t>Base-model unit GWP-saving coefficient.</t>
  </si>
  <si>
    <t>Scenario assumption</t>
  </si>
  <si>
    <t>GWP_FURFURAL</t>
  </si>
  <si>
    <t>Zero value from the base-model GWP sheet.</t>
  </si>
  <si>
    <t>Zero remains constant; test an alternative counterfactual separately.</t>
  </si>
  <si>
    <t>GWP_HMF</t>
  </si>
  <si>
    <t>GWP_FDCA</t>
  </si>
  <si>
    <t>GWP_ISOPRENE</t>
  </si>
  <si>
    <t>GWP_SUCCINIC_ACID</t>
  </si>
  <si>
    <t>GWP_3HP</t>
  </si>
  <si>
    <t>GWP_LEVULINIC_ACID</t>
  </si>
  <si>
    <t>GWP_LACTIC_ACID</t>
  </si>
  <si>
    <t>GWP_SORBITOL</t>
  </si>
  <si>
    <t>GWP_XYLITOL</t>
  </si>
  <si>
    <t>Base economic margin</t>
  </si>
  <si>
    <t>Sampling mode</t>
  </si>
  <si>
    <t>direct_margin</t>
  </si>
  <si>
    <t>PROFIT_ETHANOL</t>
  </si>
  <si>
    <t>Base-model economic-margin coefficient.</t>
  </si>
  <si>
    <t>Default ±30% triangular uncertainty.</t>
  </si>
  <si>
    <t>PROFIT_FURFURAL</t>
  </si>
  <si>
    <t>PROFIT_HMF</t>
  </si>
  <si>
    <t>PROFIT_FDCA</t>
  </si>
  <si>
    <t>PROFIT_ISOPRENE</t>
  </si>
  <si>
    <t>PROFIT_SUCCINIC_ACID</t>
  </si>
  <si>
    <t>PROFIT_3HP</t>
  </si>
  <si>
    <t>PROFIT_LEVULINIC_ACID</t>
  </si>
  <si>
    <t>PROFIT_LACTIC_ACID</t>
  </si>
  <si>
    <t>PROFIT_SORBITOL</t>
  </si>
  <si>
    <t>PROFIT_XYLITOL</t>
  </si>
  <si>
    <t>Recommended Monte Carlo output tables</t>
  </si>
  <si>
    <t>Table</t>
  </si>
  <si>
    <t>Key columns</t>
  </si>
  <si>
    <t>Store every iteration?</t>
  </si>
  <si>
    <t>Size control</t>
  </si>
  <si>
    <t>Iteration summary</t>
  </si>
  <si>
    <t>iteration, dataset, objective, objective value, economic value, environmental value, solver status</t>
  </si>
  <si>
    <t>Quantiles and objective uncertainty</t>
  </si>
  <si>
    <t>Small</t>
  </si>
  <si>
    <t>Chemical results</t>
  </si>
  <si>
    <t>iteration, objective, chemical, production, fulfilment</t>
  </si>
  <si>
    <t>Demand-fulfilment probability and production uncertainty</t>
  </si>
  <si>
    <t>Moderate</t>
  </si>
  <si>
    <t>Feedstock results</t>
  </si>
  <si>
    <t>iteration, objective, feedstock, used, utilisation</t>
  </si>
  <si>
    <t>Resource-use uncertainty</t>
  </si>
  <si>
    <t>Path selections</t>
  </si>
  <si>
    <t>iteration, objective, feedstock, chemical, allocation</t>
  </si>
  <si>
    <t>Only allocation &gt; tolerance</t>
  </si>
  <si>
    <t>Allocation stability and selection frequency</t>
  </si>
  <si>
    <t>Do not store zero paths</t>
  </si>
  <si>
    <t>Sampled inputs</t>
  </si>
  <si>
    <t>iteration plus sampled eta, availability, GWP and profit values</t>
  </si>
  <si>
    <t>Yes or reproducible seed</t>
  </si>
  <si>
    <t>Sensitivity analysis and audit trail</t>
  </si>
  <si>
    <t>Use CSV or Parquet if Excel becomes too large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</si>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</sst>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"/>
    <numFmt numFmtId="166" formatCode="0.000000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CCCC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3" tint="0.39997558519241921"/>
        <bgColor indexed="65"/>
      </patternFill>
    </fill>
    <fill>
      <patternFill patternType="solid">
        <fgColor rgb="FF00B0F0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134E4A"/>
      </patternFill>
    </fill>
    <fill>
      <patternFill patternType="solid">
        <fgColor rgb="FF0F766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3" fillId="0" borderId="0"/>
  </cellStyleXfs>
  <cellXfs count="61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6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1"/>
    <xf numFmtId="0" fontId="3" fillId="0" borderId="0" xfId="1" applyFont="1"/>
    <xf numFmtId="0" fontId="7" fillId="0" borderId="0" xfId="0" applyFont="1"/>
    <xf numFmtId="0" fontId="6" fillId="0" borderId="0" xfId="1" applyFont="1"/>
    <xf numFmtId="0" fontId="8" fillId="0" borderId="0" xfId="0" applyFont="1"/>
    <xf numFmtId="2" fontId="6" fillId="0" borderId="0" xfId="0" applyNumberFormat="1" applyFont="1"/>
    <xf numFmtId="2" fontId="9" fillId="0" borderId="0" xfId="0" applyNumberFormat="1" applyFont="1"/>
    <xf numFmtId="0" fontId="0" fillId="0" borderId="0" xfId="0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2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4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4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3" fillId="0" borderId="0" xfId="2"/>
    <xf numFmtId="0" fontId="0" fillId="0" borderId="0" xfId="0" applyAlignment="1">
      <alignment vertical="top" wrapText="1"/>
    </xf>
    <xf numFmtId="0" fontId="15" fillId="13" borderId="1" xfId="0" applyFont="1" applyFill="1" applyBorder="1" applyAlignment="1">
      <alignment vertical="top" wrapText="1"/>
    </xf>
    <xf numFmtId="0" fontId="15" fillId="13" borderId="2" xfId="0" applyFont="1" applyFill="1" applyBorder="1" applyAlignment="1">
      <alignment vertical="top" wrapText="1"/>
    </xf>
    <xf numFmtId="0" fontId="15" fillId="13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6" fillId="14" borderId="4" xfId="0" applyFont="1" applyFill="1" applyBorder="1" applyAlignment="1">
      <alignment vertical="top" wrapText="1"/>
    </xf>
    <xf numFmtId="0" fontId="16" fillId="14" borderId="0" xfId="0" applyFont="1" applyFill="1" applyAlignment="1">
      <alignment vertical="top" wrapText="1"/>
    </xf>
    <xf numFmtId="0" fontId="16" fillId="14" borderId="5" xfId="0" applyFont="1" applyFill="1" applyBorder="1" applyAlignment="1">
      <alignment vertical="top" wrapText="1"/>
    </xf>
    <xf numFmtId="0" fontId="16" fillId="1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65" fontId="0" fillId="0" borderId="2" xfId="0" applyNumberFormat="1" applyBorder="1" applyAlignment="1">
      <alignment vertical="top"/>
    </xf>
    <xf numFmtId="165" fontId="0" fillId="0" borderId="0" xfId="0" applyNumberFormat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2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166" fontId="0" fillId="0" borderId="7" xfId="0" applyNumberFormat="1" applyBorder="1" applyAlignment="1">
      <alignment vertical="top"/>
    </xf>
  </cellXfs>
  <cellStyles count="3">
    <cellStyle name="Hyperlink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298132</xdr:colOff>
      <xdr:row>0</xdr:row>
      <xdr:rowOff>131922</xdr:rowOff>
    </xdr:from>
    <xdr:to>
      <xdr:col>21</xdr:col>
      <xdr:colOff>551497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050" b="1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  <a:endParaRPr/>
        </a:p>
        <a:p>
          <a:pPr algn="l">
            <a:buNone/>
          </a:pPr>
          <a:r>
            <a:rPr sz="1050" b="1"/>
            <a:t>one exceptional,  some paper reviwes the yield from other studies. In this case, you can use the data presented in the same paper, but  the reference are actually different.</a:t>
          </a:r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3FE0CFC-BD46-69DE-36C7-8B71D14631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25052F8-E412-83B0-136E-597AD39EB2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F07556A1-4B5B-40B5-B369-0925040CF650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F07556A1-4B5B-40B5-B369-0925040CF650}" id="{CECC0888-CF4D-4F3B-BB55-180FC1E55C50}">
    <text>Check the xylose content in SCB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/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0.33087648399945879</v>
      </c>
      <c r="C2" s="1">
        <v>1.4750590909090908E-2</v>
      </c>
      <c r="D2" s="1">
        <v>0.24771833333333332</v>
      </c>
      <c r="E2" s="1">
        <v>0.30681684999999992</v>
      </c>
      <c r="F2" s="1">
        <v>6.016016666666666E-2</v>
      </c>
      <c r="G2" s="1">
        <v>0.36914938406926401</v>
      </c>
      <c r="H2" s="1">
        <v>8.3693408333333316E-2</v>
      </c>
      <c r="I2" s="1">
        <v>0.20216666666666666</v>
      </c>
      <c r="J2" s="1">
        <v>0.46233619117153679</v>
      </c>
      <c r="K2" s="1">
        <v>0.34064023259259252</v>
      </c>
      <c r="L2">
        <v>9.8562241735537202E-3</v>
      </c>
    </row>
    <row r="3" spans="1:12" x14ac:dyDescent="0.3">
      <c r="A3">
        <v>2</v>
      </c>
      <c r="B3" s="1">
        <v>0.16803900115226336</v>
      </c>
      <c r="C3" s="1">
        <v>5.5630799999999994E-2</v>
      </c>
      <c r="D3" s="1">
        <v>0.12192444444444446</v>
      </c>
      <c r="E3" s="1">
        <v>0.15101213333333335</v>
      </c>
      <c r="F3" s="1">
        <v>2.9610222222222225E-2</v>
      </c>
      <c r="G3" s="1">
        <v>0.19028922222222225</v>
      </c>
      <c r="H3" s="1">
        <v>4.1193044444444445E-2</v>
      </c>
      <c r="I3" s="1">
        <v>9.0752428148148157E-2</v>
      </c>
      <c r="J3" s="1">
        <v>0.30278429629629627</v>
      </c>
      <c r="K3" s="1">
        <v>0.16765965827160495</v>
      </c>
      <c r="L3">
        <v>6.9870101010101007E-2</v>
      </c>
    </row>
    <row r="4" spans="1:12" x14ac:dyDescent="0.3">
      <c r="A4">
        <v>3</v>
      </c>
      <c r="B4" s="1">
        <v>0.10688887000000001</v>
      </c>
      <c r="C4" s="1">
        <v>0</v>
      </c>
      <c r="D4" s="1">
        <v>0.14630000000000001</v>
      </c>
      <c r="E4" s="1">
        <v>0.181203</v>
      </c>
      <c r="F4" s="1">
        <v>3.5529999999999999E-2</v>
      </c>
      <c r="G4" s="1">
        <v>0.16723788888888888</v>
      </c>
      <c r="H4" s="1">
        <v>4.9428499999999993E-2</v>
      </c>
      <c r="I4" s="1">
        <v>0.10889596666666666</v>
      </c>
      <c r="J4" s="1">
        <v>0.15884000000000001</v>
      </c>
      <c r="K4" s="1">
        <v>0.20117875555555553</v>
      </c>
      <c r="L4">
        <v>0</v>
      </c>
    </row>
    <row r="5" spans="1:12" x14ac:dyDescent="0.3">
      <c r="A5">
        <v>4</v>
      </c>
      <c r="B5" s="1">
        <v>7.1444493113859669E-2</v>
      </c>
      <c r="C5" s="1">
        <v>7.272E-4</v>
      </c>
      <c r="D5" s="1">
        <v>0.27500000000000002</v>
      </c>
      <c r="E5" s="1">
        <v>6.9317410526315792E-2</v>
      </c>
      <c r="F5" s="1">
        <v>1.3269991228070179E-2</v>
      </c>
      <c r="G5" s="1">
        <v>0.12489403508771933</v>
      </c>
      <c r="H5" s="1">
        <v>1.8460899561403513E-2</v>
      </c>
      <c r="I5" s="1">
        <v>4.1657072046783636E-2</v>
      </c>
      <c r="J5" s="1">
        <v>0.11537559842105265</v>
      </c>
      <c r="K5" s="1">
        <v>7.695893769980508E-2</v>
      </c>
      <c r="L5">
        <v>4.8590909090909099E-4</v>
      </c>
    </row>
    <row r="6" spans="1:12" x14ac:dyDescent="0.3">
      <c r="A6">
        <v>5</v>
      </c>
      <c r="B6" s="1">
        <v>6.3954511388100849E-2</v>
      </c>
      <c r="C6" s="1">
        <v>7.5893236363636465E-4</v>
      </c>
      <c r="D6" s="1">
        <v>4.1060576355555559E-2</v>
      </c>
      <c r="E6" s="1">
        <v>5.0856456714666667E-2</v>
      </c>
      <c r="F6" s="1">
        <v>9.9718542577777788E-3</v>
      </c>
      <c r="G6" s="1">
        <v>3.9829497725137088E-2</v>
      </c>
      <c r="H6" s="1">
        <v>1.3872609011555556E-2</v>
      </c>
      <c r="I6" s="1">
        <v>3.056275566731852E-2</v>
      </c>
      <c r="J6" s="1">
        <v>4.5373217965252531E-2</v>
      </c>
      <c r="K6" s="1">
        <v>5.6462854775150617E-2</v>
      </c>
      <c r="L6">
        <v>5.0711239669421512E-4</v>
      </c>
    </row>
    <row r="7" spans="1:12" x14ac:dyDescent="0.3">
      <c r="A7">
        <v>6</v>
      </c>
      <c r="B7" s="1">
        <v>7.448835328466033E-2</v>
      </c>
      <c r="C7" s="1">
        <v>3.8905200000000002E-3</v>
      </c>
      <c r="D7" s="1">
        <v>4.2915146561368425E-2</v>
      </c>
      <c r="E7" s="1">
        <v>7.6107963366842113E-2</v>
      </c>
      <c r="F7" s="1">
        <v>7.9188840192982481E-3</v>
      </c>
      <c r="G7" s="1">
        <v>5.8600885702791067E-2</v>
      </c>
      <c r="H7" s="1">
        <v>2.077382575609649E-2</v>
      </c>
      <c r="I7" s="1">
        <v>4.5737930618497076E-2</v>
      </c>
      <c r="J7" s="1">
        <v>3.540206973333334E-2</v>
      </c>
      <c r="K7" s="1">
        <v>8.4498078718393765E-2</v>
      </c>
      <c r="L7">
        <v>2.695271466942149E-5</v>
      </c>
    </row>
    <row r="8" spans="1:12" x14ac:dyDescent="0.3">
      <c r="A8">
        <v>7</v>
      </c>
      <c r="B8" s="1">
        <v>5.3518845188938589E-2</v>
      </c>
      <c r="C8" s="1">
        <v>4.8575E-2</v>
      </c>
      <c r="D8" s="1">
        <v>5.011111111111112E-2</v>
      </c>
      <c r="E8" s="1">
        <v>0.19137532127910523</v>
      </c>
      <c r="F8" s="1">
        <v>2.9495240168245614E-2</v>
      </c>
      <c r="G8" s="1">
        <v>0.33507425845302624</v>
      </c>
      <c r="H8" s="1">
        <v>5.3363678198074548E-2</v>
      </c>
      <c r="I8" s="1">
        <v>0.11500913675177601</v>
      </c>
      <c r="J8" s="1">
        <v>0.12524190635446972</v>
      </c>
      <c r="K8" s="1">
        <v>0.21247246998656216</v>
      </c>
      <c r="L8">
        <v>2.3840887106267219E-3</v>
      </c>
    </row>
    <row r="9" spans="1:12" x14ac:dyDescent="0.3">
      <c r="A9">
        <v>8</v>
      </c>
      <c r="B9" s="1">
        <v>0.12087476848874665</v>
      </c>
      <c r="C9" s="1">
        <v>1.9270800000000001E-3</v>
      </c>
      <c r="D9" s="1">
        <v>0.19476578947368423</v>
      </c>
      <c r="E9" s="1">
        <v>0.12989792515789472</v>
      </c>
      <c r="F9" s="1">
        <v>1.7998999035087719E-2</v>
      </c>
      <c r="G9" s="1">
        <v>3.7056762719298239E-2</v>
      </c>
      <c r="H9" s="1">
        <v>3.606550419517543E-2</v>
      </c>
      <c r="I9" s="1">
        <v>2.2140075692982451E-2</v>
      </c>
      <c r="J9" s="1">
        <v>0.20485741112706943</v>
      </c>
      <c r="K9" s="1">
        <v>0.14421782714697853</v>
      </c>
      <c r="L9">
        <v>1.2984705681818181E-3</v>
      </c>
    </row>
    <row r="10" spans="1:12" x14ac:dyDescent="0.3">
      <c r="A10">
        <v>9</v>
      </c>
      <c r="B10" s="1">
        <v>0.27607174320707073</v>
      </c>
      <c r="C10" s="1">
        <v>5.4253630107629611E-2</v>
      </c>
      <c r="D10" s="1">
        <v>5.666316904668911E-2</v>
      </c>
      <c r="E10" s="1">
        <v>5.2499999999999998E-2</v>
      </c>
      <c r="F10" s="1">
        <v>2.0425499999999999E-2</v>
      </c>
      <c r="G10" s="1">
        <v>0.36091382831774538</v>
      </c>
      <c r="H10" s="1">
        <v>0.11914305514403292</v>
      </c>
      <c r="I10" s="1">
        <v>0.24195604807903462</v>
      </c>
      <c r="J10" s="1">
        <v>0.64413095238095242</v>
      </c>
      <c r="K10" s="1">
        <v>0.41900928561266981</v>
      </c>
      <c r="L10">
        <v>3.2671322433221101E-2</v>
      </c>
    </row>
    <row r="11" spans="1:12" x14ac:dyDescent="0.3">
      <c r="A11">
        <v>10</v>
      </c>
      <c r="B11" s="1">
        <v>0.49633333333333302</v>
      </c>
      <c r="C11" s="1">
        <v>0</v>
      </c>
      <c r="D11" s="1">
        <v>5.84305555555555E-2</v>
      </c>
      <c r="E11" s="1">
        <v>7.2370416666666659E-2</v>
      </c>
      <c r="F11" s="1">
        <v>1.4190277777777777E-2</v>
      </c>
      <c r="G11" s="1">
        <v>5.5687896825396821E-2</v>
      </c>
      <c r="H11" s="1">
        <v>5.8430555555555555E-2</v>
      </c>
      <c r="I11" s="1">
        <v>4.3491810185185178E-2</v>
      </c>
      <c r="J11" s="1">
        <v>6.3438888888888878E-2</v>
      </c>
      <c r="K11" s="1">
        <v>8.0348506172839493E-2</v>
      </c>
      <c r="L11">
        <v>0</v>
      </c>
    </row>
    <row r="12" spans="1:12" x14ac:dyDescent="0.3">
      <c r="A12">
        <v>11</v>
      </c>
      <c r="B12" s="1">
        <v>1.0718750000000001E-2</v>
      </c>
      <c r="C12" s="1">
        <v>5.6357999999999998E-2</v>
      </c>
      <c r="D12" s="1">
        <v>0.18989444444444448</v>
      </c>
      <c r="E12" s="1">
        <v>0.23519783333333333</v>
      </c>
      <c r="F12" s="1">
        <v>4.6117222222222226E-2</v>
      </c>
      <c r="G12" s="1">
        <v>0.23268460317460318</v>
      </c>
      <c r="H12" s="1">
        <v>0.18989444444444448</v>
      </c>
      <c r="I12" s="1">
        <v>0.14134476481481481</v>
      </c>
      <c r="J12" s="1">
        <v>0.26507111111111115</v>
      </c>
      <c r="K12" s="1">
        <v>0.26112596049382714</v>
      </c>
      <c r="L12">
        <v>3.765795454545455E-2</v>
      </c>
    </row>
    <row r="13" spans="1:12" x14ac:dyDescent="0.3">
      <c r="A13">
        <v>12</v>
      </c>
      <c r="B13" s="1">
        <v>0.21621000000000001</v>
      </c>
      <c r="C13" s="1">
        <v>5.0809050818181822E-2</v>
      </c>
      <c r="D13" s="1">
        <v>0.25091930029239767</v>
      </c>
      <c r="E13" s="1">
        <v>0.31078147621929825</v>
      </c>
      <c r="F13" s="1">
        <v>1.5368400000000003E-2</v>
      </c>
      <c r="G13" s="1">
        <v>0.28575434795492521</v>
      </c>
      <c r="H13" s="1">
        <v>8.4128237095029243E-2</v>
      </c>
      <c r="I13" s="1">
        <v>0.18676759918430799</v>
      </c>
      <c r="J13" s="1">
        <v>0.32552743707070708</v>
      </c>
      <c r="K13" s="1">
        <v>0.34504191782430149</v>
      </c>
      <c r="L13">
        <v>3.3950192097107444E-2</v>
      </c>
    </row>
    <row r="14" spans="1:12" x14ac:dyDescent="0.3">
      <c r="A14">
        <v>13</v>
      </c>
      <c r="B14" s="1">
        <v>0.12896649825000001</v>
      </c>
      <c r="C14" s="1">
        <v>3.5697504272727269E-2</v>
      </c>
      <c r="D14" s="1">
        <v>0.10423547105263159</v>
      </c>
      <c r="E14" s="1">
        <v>0.12910307628947368</v>
      </c>
      <c r="F14" s="1">
        <v>6.0788786388888891E-3</v>
      </c>
      <c r="G14" s="1">
        <v>5.5730757384559883E-2</v>
      </c>
      <c r="H14" s="1">
        <v>3.4728761592105258E-2</v>
      </c>
      <c r="I14" s="1">
        <v>7.7585935620175434E-2</v>
      </c>
      <c r="J14" s="1">
        <v>0.26755260000000003</v>
      </c>
      <c r="K14" s="1">
        <v>0.14333535441637427</v>
      </c>
      <c r="L14">
        <v>0.18929400000000002</v>
      </c>
    </row>
    <row r="15" spans="1:12" x14ac:dyDescent="0.3">
      <c r="A15">
        <v>14</v>
      </c>
      <c r="B15" s="1">
        <v>1.1099365342023266E-2</v>
      </c>
      <c r="C15" s="1">
        <v>1.839816E-2</v>
      </c>
      <c r="D15" s="1">
        <v>1.8900000000000004E-2</v>
      </c>
      <c r="E15" s="1">
        <v>2.3409000000000003E-2</v>
      </c>
      <c r="F15" s="1">
        <v>1.2039692873684212E-3</v>
      </c>
      <c r="G15" s="1">
        <v>3.4891571428571432E-2</v>
      </c>
      <c r="H15" s="1">
        <v>6.3855000000000006E-3</v>
      </c>
      <c r="I15" s="1">
        <v>1.4067900000000001E-2</v>
      </c>
      <c r="J15" s="1">
        <v>7.4340426666666667E-2</v>
      </c>
      <c r="K15" s="1">
        <v>2.5989600000000002E-2</v>
      </c>
      <c r="L15">
        <v>1.2293500000000001E-2</v>
      </c>
    </row>
    <row r="16" spans="1:12" x14ac:dyDescent="0.3">
      <c r="A16">
        <v>15</v>
      </c>
      <c r="B16" s="1">
        <v>3.957939382716049E-2</v>
      </c>
      <c r="C16" s="1">
        <v>4.434845727272727E-3</v>
      </c>
      <c r="D16" s="1">
        <v>5.4206561111111121E-2</v>
      </c>
      <c r="E16" s="1">
        <v>6.713869783333333E-2</v>
      </c>
      <c r="F16" s="1">
        <v>1.7256574162694445E-2</v>
      </c>
      <c r="G16" s="1">
        <v>0.124</v>
      </c>
      <c r="H16" s="1">
        <v>1.831407386111111E-2</v>
      </c>
      <c r="I16" s="1">
        <v>4.0347750320370371E-2</v>
      </c>
      <c r="J16" s="1">
        <v>0</v>
      </c>
      <c r="K16" s="1">
        <v>7.4540044479012343E-2</v>
      </c>
      <c r="L16">
        <v>2.9633276342975207E-3</v>
      </c>
    </row>
    <row r="17" spans="1:12" x14ac:dyDescent="0.3">
      <c r="A17">
        <v>16</v>
      </c>
      <c r="B17" s="1">
        <v>2.0514000000000001E-2</v>
      </c>
      <c r="C17" s="1">
        <v>1.3816799999999999E-3</v>
      </c>
      <c r="D17" s="1">
        <v>6.0200000000000002E-3</v>
      </c>
      <c r="E17" s="1">
        <v>1.3741949999999999E-2</v>
      </c>
      <c r="F17" s="1">
        <v>1.2409999999999999E-3</v>
      </c>
      <c r="G17" s="1">
        <v>1.0923257477132223E-2</v>
      </c>
      <c r="H17" s="1">
        <v>1.734949782339181E-3</v>
      </c>
      <c r="I17" s="1">
        <v>8.292392425306043E-3</v>
      </c>
      <c r="J17" s="1">
        <v>4.2647949473684221E-2</v>
      </c>
      <c r="K17" s="1">
        <v>1.5319696769008448E-2</v>
      </c>
      <c r="L17">
        <v>2.2250219008264463E-4</v>
      </c>
    </row>
    <row r="18" spans="1:12" x14ac:dyDescent="0.3">
      <c r="A18">
        <v>17</v>
      </c>
      <c r="B18" s="1">
        <v>5.21E-2</v>
      </c>
      <c r="C18" s="1">
        <v>5.4903599999999997E-3</v>
      </c>
      <c r="D18" s="1">
        <v>5.8450000000000004E-3</v>
      </c>
      <c r="E18" s="1">
        <v>3.411645E-2</v>
      </c>
      <c r="F18" s="1">
        <v>5.2785000000000002E-3</v>
      </c>
      <c r="G18" s="1">
        <v>3.1300813988095234E-2</v>
      </c>
      <c r="H18" s="1">
        <v>7.3423395833333328E-3</v>
      </c>
      <c r="I18" s="1">
        <v>2.0513516527777779E-2</v>
      </c>
      <c r="J18" s="1">
        <v>1.44712E-2</v>
      </c>
      <c r="K18" s="1">
        <v>3.7897489259259259E-2</v>
      </c>
      <c r="L18">
        <v>3.6670951704545459E-3</v>
      </c>
    </row>
    <row r="19" spans="1:12" x14ac:dyDescent="0.3">
      <c r="A19">
        <v>18</v>
      </c>
      <c r="B19" s="1">
        <v>5.9757173785318307E-2</v>
      </c>
      <c r="C19" s="1">
        <v>1.0907999999999998E-4</v>
      </c>
      <c r="D19" s="1">
        <v>4.8803588228070197E-2</v>
      </c>
      <c r="E19" s="1">
        <v>6.0446729991052633E-2</v>
      </c>
      <c r="F19" s="1">
        <v>3.7902736824561409E-3</v>
      </c>
      <c r="G19" s="1">
        <v>4.6597618091854628E-2</v>
      </c>
      <c r="H19" s="1">
        <v>5.2729395641228066E-3</v>
      </c>
      <c r="I19" s="1">
        <v>3.6326137504426904E-2</v>
      </c>
      <c r="J19" s="1">
        <v>6.1321013902463938E-2</v>
      </c>
      <c r="K19" s="1">
        <v>6.7110356434510715E-2</v>
      </c>
      <c r="L19">
        <v>6.1771193181818187E-5</v>
      </c>
    </row>
    <row r="20" spans="1:12" x14ac:dyDescent="0.3">
      <c r="A20">
        <v>19</v>
      </c>
      <c r="B20" s="1">
        <v>0.26593833892525254</v>
      </c>
      <c r="C20" s="1">
        <v>3.7272635999999998E-2</v>
      </c>
      <c r="D20" s="1">
        <v>4.1922500000000001E-2</v>
      </c>
      <c r="E20" s="1">
        <v>0.2477019</v>
      </c>
      <c r="F20" s="1">
        <v>3.1926000000000003E-2</v>
      </c>
      <c r="G20" s="1">
        <v>0.22479712142857144</v>
      </c>
      <c r="H20" s="1">
        <v>4.4414700000000001E-2</v>
      </c>
      <c r="I20" s="1">
        <v>0.14885922333333335</v>
      </c>
      <c r="J20" s="1">
        <v>0.35591860000000003</v>
      </c>
      <c r="K20" s="1">
        <v>0.2750084711111111</v>
      </c>
      <c r="L20">
        <v>2.4905270454545454E-2</v>
      </c>
    </row>
    <row r="21" spans="1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67"/>
  <sheetViews>
    <sheetView workbookViewId="0">
      <selection activeCell="I8" sqref="I8"/>
    </sheetView>
  </sheetViews>
  <sheetFormatPr defaultRowHeight="14.4" x14ac:dyDescent="0.3"/>
  <cols>
    <col min="2" max="2" width="15" style="6" customWidth="1"/>
    <col min="3" max="3" width="21.5546875" style="7" customWidth="1"/>
    <col min="4" max="4" width="12.5546875" style="4" customWidth="1"/>
    <col min="5" max="5" width="54.44140625" customWidth="1"/>
    <col min="6" max="6" width="12.44140625" style="4" customWidth="1"/>
    <col min="7" max="7" width="9.44140625" style="1" customWidth="1"/>
    <col min="8" max="8" width="9.44140625" customWidth="1"/>
    <col min="9" max="9" width="20" customWidth="1"/>
  </cols>
  <sheetData>
    <row r="1" spans="2:10" x14ac:dyDescent="0.3">
      <c r="B1" s="6" t="s">
        <v>0</v>
      </c>
      <c r="C1" s="7" t="s">
        <v>1</v>
      </c>
      <c r="D1" s="4" t="s">
        <v>2</v>
      </c>
      <c r="E1" t="s">
        <v>3</v>
      </c>
      <c r="F1" s="4" t="s">
        <v>4</v>
      </c>
      <c r="G1" s="1" t="s">
        <v>5</v>
      </c>
      <c r="H1" t="s">
        <v>6</v>
      </c>
      <c r="I1" t="s">
        <v>7</v>
      </c>
      <c r="J1" t="s">
        <v>8</v>
      </c>
    </row>
    <row r="2" spans="2:10" x14ac:dyDescent="0.3">
      <c r="B2" s="8" t="s">
        <v>9</v>
      </c>
      <c r="C2" s="9" t="s">
        <v>10</v>
      </c>
      <c r="D2" s="4" t="s">
        <v>11</v>
      </c>
      <c r="E2" t="s">
        <v>12</v>
      </c>
      <c r="F2" s="4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13</v>
      </c>
    </row>
    <row r="3" spans="2:10" x14ac:dyDescent="0.3">
      <c r="B3" s="8" t="s">
        <v>9</v>
      </c>
      <c r="C3" s="9" t="s">
        <v>1327</v>
      </c>
      <c r="D3" s="4" t="s">
        <v>14</v>
      </c>
      <c r="E3" t="s">
        <v>15</v>
      </c>
      <c r="F3" s="4">
        <v>0.24673834666666664</v>
      </c>
      <c r="I3" s="10" t="s">
        <v>16</v>
      </c>
    </row>
    <row r="4" spans="2:10" x14ac:dyDescent="0.3">
      <c r="B4" s="8" t="s">
        <v>9</v>
      </c>
      <c r="C4" s="9" t="s">
        <v>1327</v>
      </c>
      <c r="D4" s="4" t="s">
        <v>17</v>
      </c>
      <c r="E4" t="s">
        <v>18</v>
      </c>
      <c r="F4" s="4">
        <v>0.35497272727272727</v>
      </c>
      <c r="I4" s="11" t="s">
        <v>19</v>
      </c>
      <c r="J4" t="s">
        <v>20</v>
      </c>
    </row>
    <row r="5" spans="2:10" x14ac:dyDescent="0.3">
      <c r="B5" s="8" t="s">
        <v>9</v>
      </c>
      <c r="C5" s="9"/>
      <c r="D5" s="4" t="s">
        <v>21</v>
      </c>
      <c r="E5" t="s">
        <v>22</v>
      </c>
      <c r="F5" s="4">
        <v>0.25125091666666671</v>
      </c>
      <c r="I5" t="s">
        <v>23</v>
      </c>
    </row>
    <row r="6" spans="2:10" x14ac:dyDescent="0.3">
      <c r="B6" s="8" t="s">
        <v>9</v>
      </c>
      <c r="C6" s="9" t="s">
        <v>24</v>
      </c>
      <c r="D6" s="4" t="s">
        <v>25</v>
      </c>
      <c r="E6" t="s">
        <v>26</v>
      </c>
      <c r="F6">
        <v>0.49633333333333302</v>
      </c>
      <c r="G6" s="1">
        <f>AVERAGE(F6:F6)</f>
        <v>0.49633333333333302</v>
      </c>
      <c r="H6">
        <f>_xlfn.STDEV.P(F6:F6)</f>
        <v>0</v>
      </c>
      <c r="I6" s="10" t="s">
        <v>27</v>
      </c>
      <c r="J6" t="s">
        <v>28</v>
      </c>
    </row>
    <row r="7" spans="2:10" x14ac:dyDescent="0.3">
      <c r="B7" s="8" t="s">
        <v>9</v>
      </c>
      <c r="C7" s="9" t="s">
        <v>29</v>
      </c>
      <c r="D7" s="4" t="s">
        <v>30</v>
      </c>
      <c r="E7" t="s">
        <v>31</v>
      </c>
      <c r="F7">
        <v>1.0718750000000001E-2</v>
      </c>
      <c r="G7" s="1">
        <f>AVERAGE(F7:F7)</f>
        <v>1.0718750000000001E-2</v>
      </c>
      <c r="H7">
        <v>0</v>
      </c>
      <c r="I7" t="s">
        <v>32</v>
      </c>
    </row>
    <row r="8" spans="2:10" x14ac:dyDescent="0.3">
      <c r="B8" s="8" t="s">
        <v>9</v>
      </c>
      <c r="C8" s="9" t="s">
        <v>33</v>
      </c>
      <c r="D8" s="4" t="s">
        <v>34</v>
      </c>
      <c r="E8" t="s">
        <v>35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10" t="s">
        <v>36</v>
      </c>
      <c r="J8" t="s">
        <v>37</v>
      </c>
    </row>
    <row r="9" spans="2:10" x14ac:dyDescent="0.3">
      <c r="B9" s="8" t="s">
        <v>9</v>
      </c>
      <c r="C9" s="9" t="s">
        <v>1327</v>
      </c>
      <c r="D9" s="4" t="s">
        <v>38</v>
      </c>
      <c r="E9" t="s">
        <v>39</v>
      </c>
      <c r="F9">
        <v>0.3135892922916666</v>
      </c>
      <c r="I9" s="10" t="s">
        <v>40</v>
      </c>
    </row>
    <row r="10" spans="2:10" x14ac:dyDescent="0.3">
      <c r="B10" s="8" t="s">
        <v>9</v>
      </c>
      <c r="C10" s="9"/>
      <c r="D10">
        <v>0.41</v>
      </c>
      <c r="E10" t="s">
        <v>41</v>
      </c>
      <c r="F10">
        <v>0.29018433333333327</v>
      </c>
      <c r="I10" t="s">
        <v>42</v>
      </c>
    </row>
    <row r="11" spans="2:10" x14ac:dyDescent="0.3">
      <c r="B11" s="8" t="s">
        <v>9</v>
      </c>
      <c r="C11" s="9"/>
      <c r="D11" s="4" t="s">
        <v>43</v>
      </c>
      <c r="E11" t="s">
        <v>41</v>
      </c>
      <c r="F11">
        <v>0.28108447619047616</v>
      </c>
      <c r="I11" t="s">
        <v>44</v>
      </c>
    </row>
    <row r="12" spans="2:10" x14ac:dyDescent="0.3">
      <c r="B12" s="8" t="s">
        <v>9</v>
      </c>
      <c r="C12" s="9"/>
      <c r="D12" s="4" t="s">
        <v>45</v>
      </c>
      <c r="E12" t="s">
        <v>41</v>
      </c>
      <c r="F12">
        <v>0.28310666666666662</v>
      </c>
      <c r="I12" t="s">
        <v>46</v>
      </c>
    </row>
    <row r="13" spans="2:10" x14ac:dyDescent="0.3">
      <c r="B13" s="8" t="s">
        <v>9</v>
      </c>
      <c r="C13" s="9" t="s">
        <v>47</v>
      </c>
      <c r="D13" s="4">
        <v>21.5</v>
      </c>
      <c r="E13" t="s">
        <v>48</v>
      </c>
      <c r="F13" s="4">
        <v>0.215</v>
      </c>
      <c r="G13" s="1">
        <f>AVERAGE(F13:F17)</f>
        <v>0.16803900115226336</v>
      </c>
      <c r="H13">
        <f>_xlfn.STDEV.P(F13:F14)</f>
        <v>2.9990888888888817E-2</v>
      </c>
      <c r="I13" s="10" t="s">
        <v>49</v>
      </c>
      <c r="J13" t="s">
        <v>50</v>
      </c>
    </row>
    <row r="14" spans="2:10" x14ac:dyDescent="0.3">
      <c r="B14" s="8" t="s">
        <v>9</v>
      </c>
      <c r="C14" s="9" t="s">
        <v>1327</v>
      </c>
      <c r="D14" s="4" t="s">
        <v>51</v>
      </c>
      <c r="E14" t="s">
        <v>52</v>
      </c>
      <c r="F14">
        <v>0.15501822222222222</v>
      </c>
      <c r="I14" s="10" t="s">
        <v>53</v>
      </c>
      <c r="J14" s="12" t="s">
        <v>54</v>
      </c>
    </row>
    <row r="15" spans="2:10" x14ac:dyDescent="0.3">
      <c r="B15" s="8" t="s">
        <v>9</v>
      </c>
      <c r="C15" s="9"/>
      <c r="D15" s="4" t="s">
        <v>55</v>
      </c>
      <c r="E15" t="s">
        <v>56</v>
      </c>
      <c r="F15">
        <v>0.16755902222222224</v>
      </c>
      <c r="I15" t="s">
        <v>57</v>
      </c>
      <c r="J15" s="12"/>
    </row>
    <row r="16" spans="2:10" x14ac:dyDescent="0.3">
      <c r="B16" s="8" t="s">
        <v>9</v>
      </c>
      <c r="C16" s="9"/>
      <c r="D16" s="4" t="s">
        <v>58</v>
      </c>
      <c r="E16" t="s">
        <v>59</v>
      </c>
      <c r="F16">
        <v>0.14759953909465021</v>
      </c>
      <c r="I16" t="s">
        <v>60</v>
      </c>
      <c r="J16" s="12"/>
    </row>
    <row r="17" spans="2:10" x14ac:dyDescent="0.3">
      <c r="B17" s="8" t="s">
        <v>9</v>
      </c>
      <c r="C17" s="9"/>
      <c r="D17" s="4" t="s">
        <v>61</v>
      </c>
      <c r="E17" t="s">
        <v>62</v>
      </c>
      <c r="F17">
        <v>0.15501822222222222</v>
      </c>
      <c r="I17" t="s">
        <v>63</v>
      </c>
      <c r="J17" s="12"/>
    </row>
    <row r="18" spans="2:10" x14ac:dyDescent="0.3">
      <c r="B18" s="8" t="s">
        <v>9</v>
      </c>
      <c r="C18" s="9" t="s">
        <v>64</v>
      </c>
      <c r="E18" s="4" t="s">
        <v>65</v>
      </c>
      <c r="F18" s="4">
        <v>0.10688887000000001</v>
      </c>
      <c r="G18" s="1">
        <f>F18</f>
        <v>0.10688887000000001</v>
      </c>
      <c r="I18" s="13" t="s">
        <v>66</v>
      </c>
    </row>
    <row r="19" spans="2:10" x14ac:dyDescent="0.3">
      <c r="B19" s="8" t="s">
        <v>9</v>
      </c>
      <c r="C19" s="9" t="s">
        <v>67</v>
      </c>
      <c r="D19" s="4" t="s">
        <v>68</v>
      </c>
      <c r="E19" t="s">
        <v>69</v>
      </c>
      <c r="F19" s="4">
        <v>7.0861753157894752E-2</v>
      </c>
      <c r="G19" s="1">
        <f>AVERAGE(F19:F23)</f>
        <v>7.1444493113859669E-2</v>
      </c>
      <c r="H19">
        <f>_xlfn.STDEV.P(F19:F22)</f>
        <v>1.4604837426856123E-3</v>
      </c>
      <c r="I19" s="10" t="s">
        <v>70</v>
      </c>
      <c r="J19" t="s">
        <v>71</v>
      </c>
    </row>
    <row r="20" spans="2:10" x14ac:dyDescent="0.3">
      <c r="B20" s="8" t="s">
        <v>9</v>
      </c>
      <c r="C20" s="9" t="s">
        <v>1327</v>
      </c>
      <c r="D20" s="4">
        <v>0.45989999999999998</v>
      </c>
      <c r="E20" t="s">
        <v>69</v>
      </c>
      <c r="F20" s="4">
        <v>7.1798458421052647E-2</v>
      </c>
      <c r="I20" s="10" t="s">
        <v>72</v>
      </c>
    </row>
    <row r="21" spans="2:10" x14ac:dyDescent="0.3">
      <c r="B21" s="8" t="s">
        <v>9</v>
      </c>
      <c r="C21" s="9" t="s">
        <v>1327</v>
      </c>
      <c r="D21" s="4">
        <v>0.91</v>
      </c>
      <c r="E21" t="s">
        <v>73</v>
      </c>
      <c r="F21" s="4">
        <v>7.2596219070175452E-2</v>
      </c>
      <c r="I21" s="10" t="s">
        <v>74</v>
      </c>
      <c r="J21" t="s">
        <v>75</v>
      </c>
    </row>
    <row r="22" spans="2:10" x14ac:dyDescent="0.3">
      <c r="B22" s="8" t="s">
        <v>9</v>
      </c>
      <c r="C22" s="9" t="s">
        <v>1327</v>
      </c>
      <c r="D22">
        <f>0.44</f>
        <v>0.44</v>
      </c>
      <c r="E22" t="s">
        <v>69</v>
      </c>
      <c r="F22" s="4">
        <v>6.8691719298245635E-2</v>
      </c>
      <c r="I22" t="s">
        <v>76</v>
      </c>
    </row>
    <row r="23" spans="2:10" x14ac:dyDescent="0.3">
      <c r="B23" s="8" t="s">
        <v>9</v>
      </c>
      <c r="C23" s="9"/>
      <c r="D23" t="s">
        <v>77</v>
      </c>
      <c r="E23" t="s">
        <v>73</v>
      </c>
      <c r="F23" s="4">
        <v>7.3274315621929834E-2</v>
      </c>
      <c r="I23" t="s">
        <v>78</v>
      </c>
    </row>
    <row r="24" spans="2:10" x14ac:dyDescent="0.3">
      <c r="B24" s="8" t="s">
        <v>9</v>
      </c>
      <c r="C24" s="9" t="s">
        <v>79</v>
      </c>
      <c r="D24" s="4">
        <v>26</v>
      </c>
      <c r="E24" t="s">
        <v>80</v>
      </c>
      <c r="F24" s="4">
        <v>2.0514000000000001E-2</v>
      </c>
      <c r="G24" s="1">
        <f>F24</f>
        <v>2.0514000000000001E-2</v>
      </c>
      <c r="H24">
        <f>_xlfn.STDEV.P(F24)</f>
        <v>0</v>
      </c>
      <c r="I24" s="10" t="s">
        <v>81</v>
      </c>
      <c r="J24" t="s">
        <v>82</v>
      </c>
    </row>
    <row r="25" spans="2:10" x14ac:dyDescent="0.3">
      <c r="B25" s="8" t="s">
        <v>9</v>
      </c>
      <c r="C25" s="9" t="s">
        <v>83</v>
      </c>
      <c r="D25" s="4">
        <v>5.21</v>
      </c>
      <c r="E25" t="s">
        <v>84</v>
      </c>
      <c r="F25" s="4">
        <v>5.21E-2</v>
      </c>
      <c r="G25" s="1">
        <f>AVERAGE(F25:F25)</f>
        <v>5.21E-2</v>
      </c>
      <c r="H25">
        <f>_xlfn.STDEV.P(F25:F25)</f>
        <v>0</v>
      </c>
      <c r="I25" s="10" t="s">
        <v>85</v>
      </c>
      <c r="J25" t="s">
        <v>86</v>
      </c>
    </row>
    <row r="26" spans="2:10" x14ac:dyDescent="0.3">
      <c r="B26" s="8" t="s">
        <v>9</v>
      </c>
      <c r="C26" s="9" t="s">
        <v>87</v>
      </c>
      <c r="D26" s="4" t="s">
        <v>88</v>
      </c>
      <c r="E26" t="s">
        <v>89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10" t="s">
        <v>90</v>
      </c>
      <c r="J26" t="s">
        <v>91</v>
      </c>
    </row>
    <row r="27" spans="2:10" x14ac:dyDescent="0.3">
      <c r="B27" s="8" t="s">
        <v>9</v>
      </c>
      <c r="C27" s="9" t="s">
        <v>1327</v>
      </c>
      <c r="D27" s="4" t="s">
        <v>92</v>
      </c>
      <c r="E27" t="s">
        <v>89</v>
      </c>
      <c r="F27" s="4">
        <v>6.9086666000000005E-2</v>
      </c>
      <c r="I27" s="10" t="s">
        <v>93</v>
      </c>
      <c r="J27" t="s">
        <v>94</v>
      </c>
    </row>
    <row r="28" spans="2:10" x14ac:dyDescent="0.3">
      <c r="B28" s="8" t="s">
        <v>9</v>
      </c>
      <c r="C28" s="9" t="s">
        <v>1327</v>
      </c>
      <c r="D28" s="4">
        <v>85</v>
      </c>
      <c r="E28" t="s">
        <v>89</v>
      </c>
      <c r="F28" s="4">
        <v>9.3852749999999999E-2</v>
      </c>
      <c r="I28" s="10" t="s">
        <v>95</v>
      </c>
      <c r="J28" t="s">
        <v>96</v>
      </c>
    </row>
    <row r="29" spans="2:10" x14ac:dyDescent="0.3">
      <c r="B29" s="8" t="s">
        <v>9</v>
      </c>
      <c r="C29" s="9"/>
      <c r="D29" s="4" t="s">
        <v>97</v>
      </c>
      <c r="E29" t="s">
        <v>41</v>
      </c>
      <c r="F29" s="4">
        <v>6.6326475586744635E-2</v>
      </c>
      <c r="I29" t="s">
        <v>98</v>
      </c>
    </row>
    <row r="30" spans="2:10" x14ac:dyDescent="0.3">
      <c r="B30" s="8" t="s">
        <v>9</v>
      </c>
      <c r="C30" s="9"/>
      <c r="D30" s="4" t="s">
        <v>99</v>
      </c>
      <c r="E30" t="s">
        <v>41</v>
      </c>
      <c r="F30" s="4">
        <v>7.2942582877192963E-2</v>
      </c>
      <c r="I30" t="s">
        <v>100</v>
      </c>
    </row>
    <row r="31" spans="2:10" x14ac:dyDescent="0.3">
      <c r="B31" s="8" t="s">
        <v>9</v>
      </c>
      <c r="C31" s="9" t="s">
        <v>101</v>
      </c>
      <c r="D31" s="4" t="s">
        <v>102</v>
      </c>
      <c r="E31" t="s">
        <v>89</v>
      </c>
      <c r="F31" s="14">
        <v>0.20323429279999999</v>
      </c>
      <c r="G31" s="1">
        <f>AVERAGE(F31:F35)</f>
        <v>0.23524062044571417</v>
      </c>
      <c r="H31">
        <f>_xlfn.STDEV.P(F31:F35)</f>
        <v>7.5759782205164869E-2</v>
      </c>
      <c r="I31" s="10" t="s">
        <v>90</v>
      </c>
      <c r="J31" t="s">
        <v>91</v>
      </c>
    </row>
    <row r="32" spans="2:10" x14ac:dyDescent="0.3">
      <c r="B32" s="8" t="s">
        <v>9</v>
      </c>
      <c r="C32" s="9" t="s">
        <v>1327</v>
      </c>
      <c r="D32" s="4" t="s">
        <v>103</v>
      </c>
      <c r="E32" t="s">
        <v>104</v>
      </c>
      <c r="F32" s="4">
        <v>0.32550457142857098</v>
      </c>
      <c r="I32" s="10" t="s">
        <v>105</v>
      </c>
    </row>
    <row r="33" spans="2:10" x14ac:dyDescent="0.3">
      <c r="B33" s="8" t="s">
        <v>9</v>
      </c>
      <c r="C33" s="9" t="s">
        <v>1327</v>
      </c>
      <c r="D33" s="4">
        <v>210</v>
      </c>
      <c r="E33" t="s">
        <v>106</v>
      </c>
      <c r="F33" s="4">
        <v>0.21</v>
      </c>
      <c r="I33" s="10" t="s">
        <v>107</v>
      </c>
    </row>
    <row r="34" spans="2:10" x14ac:dyDescent="0.3">
      <c r="B34" s="8" t="s">
        <v>9</v>
      </c>
      <c r="C34" s="9" t="s">
        <v>1327</v>
      </c>
      <c r="D34" s="4" t="s">
        <v>108</v>
      </c>
      <c r="E34" t="s">
        <v>109</v>
      </c>
      <c r="F34" s="4">
        <v>0.122962638</v>
      </c>
      <c r="I34" s="10" t="s">
        <v>110</v>
      </c>
      <c r="J34" t="s">
        <v>111</v>
      </c>
    </row>
    <row r="35" spans="2:10" x14ac:dyDescent="0.3">
      <c r="B35" s="8" t="s">
        <v>9</v>
      </c>
      <c r="C35" s="9" t="s">
        <v>1327</v>
      </c>
      <c r="D35" s="4" t="s">
        <v>112</v>
      </c>
      <c r="E35" t="s">
        <v>113</v>
      </c>
      <c r="F35" s="4">
        <v>0.31450159999999999</v>
      </c>
      <c r="I35" s="10" t="s">
        <v>114</v>
      </c>
    </row>
    <row r="36" spans="2:10" x14ac:dyDescent="0.3">
      <c r="B36" s="8" t="s">
        <v>9</v>
      </c>
      <c r="C36" s="9" t="s">
        <v>115</v>
      </c>
      <c r="D36" s="4" t="s">
        <v>116</v>
      </c>
      <c r="E36" t="s">
        <v>117</v>
      </c>
      <c r="F36" s="4">
        <v>0.11454345</v>
      </c>
      <c r="G36" s="1">
        <f>AVERAGE(F36:F40)</f>
        <v>9.8884795063157907E-2</v>
      </c>
      <c r="H36">
        <f>_xlfn.STDEV.P(F36:F39)</f>
        <v>3.1329519127786302E-2</v>
      </c>
      <c r="I36" s="10" t="s">
        <v>118</v>
      </c>
    </row>
    <row r="37" spans="2:10" x14ac:dyDescent="0.3">
      <c r="B37" s="8" t="s">
        <v>9</v>
      </c>
      <c r="C37" s="9" t="s">
        <v>1327</v>
      </c>
      <c r="D37" s="4" t="s">
        <v>119</v>
      </c>
      <c r="E37" t="s">
        <v>120</v>
      </c>
      <c r="F37" s="4">
        <v>9.0550231999999994E-2</v>
      </c>
      <c r="I37" s="10" t="s">
        <v>121</v>
      </c>
    </row>
    <row r="38" spans="2:10" x14ac:dyDescent="0.3">
      <c r="B38" s="8" t="s">
        <v>9</v>
      </c>
      <c r="C38" s="9" t="s">
        <v>1327</v>
      </c>
      <c r="D38" s="4" t="s">
        <v>122</v>
      </c>
      <c r="E38" t="s">
        <v>123</v>
      </c>
      <c r="F38" s="4">
        <v>0.140666975</v>
      </c>
      <c r="I38" s="10" t="s">
        <v>124</v>
      </c>
      <c r="J38" t="s">
        <v>125</v>
      </c>
    </row>
    <row r="39" spans="2:10" x14ac:dyDescent="0.3">
      <c r="B39" s="8" t="s">
        <v>9</v>
      </c>
      <c r="C39" s="9" t="s">
        <v>1327</v>
      </c>
      <c r="D39" s="4">
        <v>46.2</v>
      </c>
      <c r="E39" t="s">
        <v>120</v>
      </c>
      <c r="F39" s="4">
        <v>5.5592792000000002E-2</v>
      </c>
      <c r="I39" s="10" t="s">
        <v>126</v>
      </c>
    </row>
    <row r="40" spans="2:10" x14ac:dyDescent="0.3">
      <c r="B40" s="8" t="s">
        <v>9</v>
      </c>
      <c r="C40" s="9"/>
      <c r="D40" s="4" t="s">
        <v>127</v>
      </c>
      <c r="E40" t="s">
        <v>41</v>
      </c>
      <c r="F40" s="4">
        <v>9.3070526315789465E-2</v>
      </c>
      <c r="I40" t="s">
        <v>128</v>
      </c>
    </row>
    <row r="41" spans="2:10" x14ac:dyDescent="0.3">
      <c r="B41" s="8" t="s">
        <v>9</v>
      </c>
      <c r="C41" s="9" t="s">
        <v>129</v>
      </c>
      <c r="D41" s="4">
        <v>490.4</v>
      </c>
      <c r="E41" t="s">
        <v>130</v>
      </c>
      <c r="F41" s="4">
        <v>8.4476304000000002E-2</v>
      </c>
      <c r="G41" s="1">
        <f>AVERAGE(F41:F45)</f>
        <v>7.448835328466033E-2</v>
      </c>
      <c r="H41">
        <f>_xlfn.STDEV.P(F41:F44)</f>
        <v>1.2196252270089964E-2</v>
      </c>
      <c r="I41" s="10" t="s">
        <v>131</v>
      </c>
      <c r="J41" t="s">
        <v>132</v>
      </c>
    </row>
    <row r="42" spans="2:10" x14ac:dyDescent="0.3">
      <c r="B42" s="8" t="s">
        <v>9</v>
      </c>
      <c r="C42" s="9" t="s">
        <v>1327</v>
      </c>
      <c r="D42" s="4" t="s">
        <v>133</v>
      </c>
      <c r="E42" t="s">
        <v>134</v>
      </c>
      <c r="F42" s="4">
        <v>8.2867142857142875E-2</v>
      </c>
      <c r="I42" s="10" t="s">
        <v>135</v>
      </c>
      <c r="J42" t="s">
        <v>136</v>
      </c>
    </row>
    <row r="43" spans="2:10" x14ac:dyDescent="0.3">
      <c r="B43" s="8" t="s">
        <v>9</v>
      </c>
      <c r="C43" s="9" t="s">
        <v>1327</v>
      </c>
      <c r="D43" s="4">
        <v>3.55</v>
      </c>
      <c r="E43" t="s">
        <v>137</v>
      </c>
      <c r="F43" s="4">
        <v>6.4643023255813961E-2</v>
      </c>
      <c r="I43" t="s">
        <v>138</v>
      </c>
      <c r="J43" t="s">
        <v>139</v>
      </c>
    </row>
    <row r="44" spans="2:10" x14ac:dyDescent="0.3">
      <c r="B44" s="8" t="s">
        <v>9</v>
      </c>
      <c r="C44" s="9" t="s">
        <v>1327</v>
      </c>
      <c r="D44" s="4" t="s">
        <v>140</v>
      </c>
      <c r="E44" t="s">
        <v>141</v>
      </c>
      <c r="F44" s="4">
        <v>5.565532831034483E-2</v>
      </c>
      <c r="I44" t="s">
        <v>142</v>
      </c>
      <c r="J44" t="s">
        <v>143</v>
      </c>
    </row>
    <row r="45" spans="2:10" x14ac:dyDescent="0.3">
      <c r="B45" s="8" t="s">
        <v>9</v>
      </c>
      <c r="C45" s="9"/>
      <c r="D45" t="s">
        <v>144</v>
      </c>
      <c r="E45" t="s">
        <v>145</v>
      </c>
      <c r="F45" s="4">
        <v>8.4799967999999989E-2</v>
      </c>
      <c r="I45" t="s">
        <v>146</v>
      </c>
      <c r="J45" t="s">
        <v>147</v>
      </c>
    </row>
    <row r="46" spans="2:10" x14ac:dyDescent="0.3">
      <c r="B46" s="8" t="s">
        <v>9</v>
      </c>
      <c r="C46" s="9" t="s">
        <v>148</v>
      </c>
      <c r="D46" s="4" t="s">
        <v>149</v>
      </c>
      <c r="E46" t="s">
        <v>150</v>
      </c>
      <c r="F46" s="4">
        <v>2.5959999999999997E-2</v>
      </c>
      <c r="G46" s="1">
        <f>AVERAGE(F46:F50)</f>
        <v>5.3518845188938589E-2</v>
      </c>
      <c r="H46">
        <f>_xlfn.STDEV.P(F46:F50)</f>
        <v>2.3968764423188377E-2</v>
      </c>
      <c r="I46" s="10" t="s">
        <v>151</v>
      </c>
      <c r="J46" t="s">
        <v>152</v>
      </c>
    </row>
    <row r="47" spans="2:10" x14ac:dyDescent="0.3">
      <c r="B47" s="8" t="s">
        <v>9</v>
      </c>
      <c r="C47" s="9" t="s">
        <v>1327</v>
      </c>
      <c r="D47" s="4" t="s">
        <v>153</v>
      </c>
      <c r="E47" t="s">
        <v>154</v>
      </c>
      <c r="F47" s="4">
        <v>6.5289749999999994E-2</v>
      </c>
      <c r="I47" s="10" t="s">
        <v>155</v>
      </c>
      <c r="J47" t="s">
        <v>156</v>
      </c>
    </row>
    <row r="48" spans="2:10" x14ac:dyDescent="0.3">
      <c r="B48" s="8" t="s">
        <v>9</v>
      </c>
      <c r="C48" s="9" t="s">
        <v>1327</v>
      </c>
      <c r="D48" s="4">
        <v>97.5</v>
      </c>
      <c r="E48" t="s">
        <v>157</v>
      </c>
      <c r="F48" s="4">
        <v>5.2468939867500002E-2</v>
      </c>
      <c r="I48" s="10" t="s">
        <v>158</v>
      </c>
    </row>
    <row r="49" spans="2:10" x14ac:dyDescent="0.3">
      <c r="B49" s="8" t="s">
        <v>9</v>
      </c>
      <c r="C49" s="9" t="s">
        <v>1327</v>
      </c>
      <c r="D49" s="4" t="s">
        <v>159</v>
      </c>
      <c r="E49" t="s">
        <v>160</v>
      </c>
      <c r="F49" s="4">
        <v>9.219999999999999E-2</v>
      </c>
      <c r="I49" s="10" t="s">
        <v>161</v>
      </c>
    </row>
    <row r="50" spans="2:10" x14ac:dyDescent="0.3">
      <c r="B50" s="8" t="s">
        <v>9</v>
      </c>
      <c r="C50" s="9" t="s">
        <v>1327</v>
      </c>
      <c r="D50" s="4">
        <v>0.32</v>
      </c>
      <c r="E50" t="s">
        <v>162</v>
      </c>
      <c r="F50" s="4">
        <v>3.1675536077192992E-2</v>
      </c>
      <c r="I50" s="10" t="s">
        <v>163</v>
      </c>
    </row>
    <row r="51" spans="2:10" x14ac:dyDescent="0.3">
      <c r="B51" s="8" t="s">
        <v>9</v>
      </c>
      <c r="C51" s="9" t="s">
        <v>164</v>
      </c>
      <c r="D51" s="4" t="s">
        <v>165</v>
      </c>
      <c r="E51" t="s">
        <v>162</v>
      </c>
      <c r="F51" s="4">
        <v>0.10270017096491227</v>
      </c>
      <c r="G51" s="1">
        <f>AVERAGE(F51:F55)</f>
        <v>0.12087476848874665</v>
      </c>
      <c r="H51">
        <f>_xlfn.STDEV.P(F51:F55)</f>
        <v>2.8124338852850869E-2</v>
      </c>
      <c r="I51" s="10" t="s">
        <v>166</v>
      </c>
      <c r="J51" t="s">
        <v>167</v>
      </c>
    </row>
    <row r="52" spans="2:10" x14ac:dyDescent="0.3">
      <c r="B52" s="8" t="s">
        <v>9</v>
      </c>
      <c r="C52" s="9" t="s">
        <v>1327</v>
      </c>
      <c r="D52" s="4" t="s">
        <v>168</v>
      </c>
      <c r="E52" t="s">
        <v>169</v>
      </c>
      <c r="F52" s="4">
        <v>9.633064283578946E-2</v>
      </c>
      <c r="I52" s="10" t="s">
        <v>170</v>
      </c>
    </row>
    <row r="53" spans="2:10" x14ac:dyDescent="0.3">
      <c r="B53" s="8" t="s">
        <v>9</v>
      </c>
      <c r="C53" s="9" t="s">
        <v>1327</v>
      </c>
      <c r="D53" s="4" t="s">
        <v>171</v>
      </c>
      <c r="E53" t="s">
        <v>172</v>
      </c>
      <c r="F53" s="4">
        <v>0.16788166666666665</v>
      </c>
      <c r="I53" s="10" t="s">
        <v>173</v>
      </c>
      <c r="J53" t="s">
        <v>174</v>
      </c>
    </row>
    <row r="54" spans="2:10" x14ac:dyDescent="0.3">
      <c r="B54" s="8" t="s">
        <v>9</v>
      </c>
      <c r="C54" s="9" t="s">
        <v>1327</v>
      </c>
      <c r="D54" s="4" t="s">
        <v>175</v>
      </c>
      <c r="E54" t="s">
        <v>176</v>
      </c>
      <c r="F54" s="4">
        <v>9.8689231669347371E-2</v>
      </c>
      <c r="I54" s="10" t="s">
        <v>177</v>
      </c>
      <c r="J54" t="s">
        <v>178</v>
      </c>
    </row>
    <row r="55" spans="2:10" x14ac:dyDescent="0.3">
      <c r="B55" s="8" t="s">
        <v>9</v>
      </c>
      <c r="C55" s="9"/>
      <c r="D55" s="4" t="s">
        <v>179</v>
      </c>
      <c r="E55" t="s">
        <v>180</v>
      </c>
      <c r="F55" s="4">
        <v>0.13877213030701752</v>
      </c>
      <c r="I55" s="10"/>
    </row>
    <row r="56" spans="2:10" x14ac:dyDescent="0.3">
      <c r="B56" s="8" t="s">
        <v>9</v>
      </c>
      <c r="C56" s="9" t="s">
        <v>181</v>
      </c>
      <c r="D56" s="4" t="s">
        <v>182</v>
      </c>
      <c r="E56" t="s">
        <v>183</v>
      </c>
      <c r="F56" s="4">
        <v>0.39</v>
      </c>
      <c r="G56" s="1">
        <f>AVERAGE(F56:F60)</f>
        <v>0.40391841102724513</v>
      </c>
      <c r="H56">
        <f>_xlfn.STDEV.P(F56:F60)</f>
        <v>1.44815206334599E-2</v>
      </c>
      <c r="I56" s="10" t="s">
        <v>184</v>
      </c>
    </row>
    <row r="57" spans="2:10" x14ac:dyDescent="0.3">
      <c r="B57" s="8" t="s">
        <v>9</v>
      </c>
      <c r="C57" s="7" t="s">
        <v>1327</v>
      </c>
      <c r="D57" s="4" t="s">
        <v>185</v>
      </c>
      <c r="E57" t="s">
        <v>186</v>
      </c>
      <c r="F57" s="15">
        <v>0.38400214999999999</v>
      </c>
      <c r="I57" s="10" t="s">
        <v>187</v>
      </c>
    </row>
    <row r="58" spans="2:10" x14ac:dyDescent="0.3">
      <c r="B58" s="8" t="s">
        <v>9</v>
      </c>
      <c r="C58" s="9" t="s">
        <v>1327</v>
      </c>
      <c r="D58" s="4">
        <v>53.18</v>
      </c>
      <c r="E58" t="s">
        <v>183</v>
      </c>
      <c r="F58" s="15">
        <v>0.40985948888888879</v>
      </c>
      <c r="I58" s="10" t="s">
        <v>188</v>
      </c>
    </row>
    <row r="59" spans="2:10" x14ac:dyDescent="0.3">
      <c r="B59" s="8" t="s">
        <v>9</v>
      </c>
      <c r="C59" s="9" t="s">
        <v>1327</v>
      </c>
      <c r="D59" s="4" t="s">
        <v>189</v>
      </c>
      <c r="E59" t="s">
        <v>183</v>
      </c>
      <c r="F59" s="4">
        <v>0.41375000000000001</v>
      </c>
      <c r="I59" t="s">
        <v>190</v>
      </c>
    </row>
    <row r="60" spans="2:10" x14ac:dyDescent="0.3">
      <c r="B60" s="8" t="s">
        <v>9</v>
      </c>
      <c r="C60" s="9" t="s">
        <v>1327</v>
      </c>
      <c r="D60" s="4" t="s">
        <v>191</v>
      </c>
      <c r="E60" t="s">
        <v>183</v>
      </c>
      <c r="F60" s="4">
        <v>0.42198041624733668</v>
      </c>
      <c r="I60" t="s">
        <v>190</v>
      </c>
    </row>
    <row r="61" spans="2:10" x14ac:dyDescent="0.3">
      <c r="B61" s="8" t="s">
        <v>9</v>
      </c>
      <c r="C61" s="9" t="s">
        <v>192</v>
      </c>
      <c r="D61" s="4">
        <v>0.47</v>
      </c>
      <c r="E61" t="s">
        <v>193</v>
      </c>
      <c r="F61" s="4">
        <v>0.16487599999999999</v>
      </c>
      <c r="G61" s="1">
        <f>AVERAGE(F61:F66)</f>
        <v>0.20742576935916665</v>
      </c>
      <c r="H61">
        <f>_xlfn.STDEV.P(F61:F66)</f>
        <v>4.7144499738099192E-2</v>
      </c>
      <c r="I61" s="10" t="s">
        <v>194</v>
      </c>
    </row>
    <row r="62" spans="2:10" x14ac:dyDescent="0.3">
      <c r="B62" s="8" t="s">
        <v>9</v>
      </c>
      <c r="C62" s="9" t="s">
        <v>1327</v>
      </c>
      <c r="D62" s="4">
        <f>(0.30155+0.3052333)/2</f>
        <v>0.30339165000000001</v>
      </c>
      <c r="E62" t="s">
        <v>195</v>
      </c>
      <c r="F62" s="4">
        <v>0.14584036615500001</v>
      </c>
      <c r="I62" s="10" t="s">
        <v>196</v>
      </c>
    </row>
    <row r="63" spans="2:10" x14ac:dyDescent="0.3">
      <c r="B63" s="8" t="s">
        <v>9</v>
      </c>
      <c r="C63" s="9" t="s">
        <v>1327</v>
      </c>
      <c r="D63" s="4">
        <f>AVERAGE(0.45,0.62)</f>
        <v>0.53500000000000003</v>
      </c>
      <c r="E63" t="s">
        <v>195</v>
      </c>
      <c r="F63" s="4">
        <v>0.25717450000000003</v>
      </c>
      <c r="I63" s="10" t="s">
        <v>197</v>
      </c>
    </row>
    <row r="64" spans="2:10" x14ac:dyDescent="0.3">
      <c r="B64" s="8" t="s">
        <v>9</v>
      </c>
      <c r="C64" s="9" t="s">
        <v>1327</v>
      </c>
      <c r="D64" s="4">
        <v>0.52</v>
      </c>
      <c r="E64" t="s">
        <v>198</v>
      </c>
      <c r="F64" s="4">
        <v>0.18241599999999999</v>
      </c>
      <c r="I64" s="10" t="s">
        <v>199</v>
      </c>
    </row>
    <row r="65" spans="2:10" x14ac:dyDescent="0.3">
      <c r="B65" s="8" t="s">
        <v>9</v>
      </c>
      <c r="C65" s="9" t="s">
        <v>1327</v>
      </c>
      <c r="D65" s="16">
        <v>347.25</v>
      </c>
      <c r="E65" t="s">
        <v>200</v>
      </c>
      <c r="F65" s="4">
        <v>0.2743275</v>
      </c>
      <c r="I65" s="10" t="s">
        <v>201</v>
      </c>
    </row>
    <row r="66" spans="2:10" x14ac:dyDescent="0.3">
      <c r="B66" s="8" t="s">
        <v>9</v>
      </c>
      <c r="C66" s="9" t="s">
        <v>1327</v>
      </c>
      <c r="D66" s="4">
        <v>0.45750000000000002</v>
      </c>
      <c r="E66" t="s">
        <v>202</v>
      </c>
      <c r="F66" s="4">
        <v>0.21992025000000001</v>
      </c>
      <c r="I66" s="10" t="s">
        <v>203</v>
      </c>
    </row>
    <row r="67" spans="2:10" ht="12" customHeight="1" x14ac:dyDescent="0.3">
      <c r="B67" s="8" t="s">
        <v>9</v>
      </c>
      <c r="C67" s="17" t="s">
        <v>204</v>
      </c>
      <c r="D67" s="4" t="s">
        <v>205</v>
      </c>
      <c r="E67" t="s">
        <v>206</v>
      </c>
      <c r="F67" s="4">
        <v>0.04</v>
      </c>
      <c r="G67" s="1">
        <f>AVERAGE(F67:F71)</f>
        <v>7.0427046509607377E-2</v>
      </c>
      <c r="H67">
        <f>_xlfn.STDEV.P(F67:F71)</f>
        <v>2.3642666121273522E-2</v>
      </c>
      <c r="I67" s="10" t="s">
        <v>207</v>
      </c>
      <c r="J67" s="18"/>
    </row>
    <row r="68" spans="2:10" ht="12" customHeight="1" x14ac:dyDescent="0.3">
      <c r="B68" s="8" t="s">
        <v>9</v>
      </c>
      <c r="C68" s="17" t="s">
        <v>1327</v>
      </c>
      <c r="D68" s="4" t="s">
        <v>208</v>
      </c>
      <c r="E68" t="s">
        <v>209</v>
      </c>
      <c r="F68" s="4">
        <v>7.5843555555555553E-2</v>
      </c>
      <c r="I68" s="10" t="s">
        <v>210</v>
      </c>
      <c r="J68" s="18"/>
    </row>
    <row r="69" spans="2:10" ht="12" customHeight="1" x14ac:dyDescent="0.3">
      <c r="B69" s="8" t="s">
        <v>9</v>
      </c>
      <c r="C69" s="17" t="s">
        <v>1327</v>
      </c>
      <c r="D69" s="4">
        <v>0.42</v>
      </c>
      <c r="E69" t="s">
        <v>209</v>
      </c>
      <c r="F69" s="4">
        <v>0.111552</v>
      </c>
      <c r="I69" t="s">
        <v>211</v>
      </c>
      <c r="J69" s="18"/>
    </row>
    <row r="70" spans="2:10" ht="12" customHeight="1" x14ac:dyDescent="0.3">
      <c r="B70" s="8" t="s">
        <v>9</v>
      </c>
      <c r="C70" s="17" t="s">
        <v>1327</v>
      </c>
      <c r="D70" s="4" t="s">
        <v>212</v>
      </c>
      <c r="E70" t="s">
        <v>209</v>
      </c>
      <c r="F70" s="4">
        <v>5.931733333333334E-2</v>
      </c>
      <c r="I70" t="s">
        <v>213</v>
      </c>
      <c r="J70" s="18"/>
    </row>
    <row r="71" spans="2:10" ht="12" customHeight="1" x14ac:dyDescent="0.3">
      <c r="B71" s="8" t="s">
        <v>9</v>
      </c>
      <c r="C71" s="17" t="s">
        <v>1327</v>
      </c>
      <c r="D71" s="4" t="s">
        <v>214</v>
      </c>
      <c r="E71" t="s">
        <v>215</v>
      </c>
      <c r="F71" s="4">
        <v>6.5422343659148008E-2</v>
      </c>
      <c r="I71" t="s">
        <v>216</v>
      </c>
    </row>
    <row r="72" spans="2:10" ht="12" customHeight="1" x14ac:dyDescent="0.3">
      <c r="B72" s="8" t="s">
        <v>9</v>
      </c>
      <c r="C72" s="17" t="s">
        <v>217</v>
      </c>
      <c r="D72" s="4" t="s">
        <v>218</v>
      </c>
      <c r="E72" t="s">
        <v>219</v>
      </c>
      <c r="F72" s="4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220</v>
      </c>
    </row>
    <row r="73" spans="2:10" ht="12" customHeight="1" x14ac:dyDescent="0.3">
      <c r="B73" s="8" t="s">
        <v>9</v>
      </c>
      <c r="C73" s="17" t="s">
        <v>1327</v>
      </c>
      <c r="D73" s="4" t="s">
        <v>221</v>
      </c>
      <c r="E73" t="s">
        <v>209</v>
      </c>
      <c r="F73" s="4">
        <v>6.705267528421055E-2</v>
      </c>
      <c r="I73" t="s">
        <v>222</v>
      </c>
    </row>
    <row r="74" spans="2:10" ht="12" customHeight="1" x14ac:dyDescent="0.3">
      <c r="B74" s="8" t="s">
        <v>9</v>
      </c>
      <c r="C74" s="17" t="s">
        <v>1327</v>
      </c>
      <c r="D74" s="4" t="s">
        <v>223</v>
      </c>
      <c r="E74" t="s">
        <v>224</v>
      </c>
      <c r="F74" s="4">
        <v>6.8000000000000005E-2</v>
      </c>
      <c r="I74" t="s">
        <v>225</v>
      </c>
    </row>
    <row r="75" spans="2:10" ht="12" customHeight="1" x14ac:dyDescent="0.3">
      <c r="B75" s="8" t="s">
        <v>9</v>
      </c>
      <c r="C75" s="17" t="s">
        <v>1327</v>
      </c>
      <c r="D75" s="4" t="s">
        <v>226</v>
      </c>
      <c r="E75" t="s">
        <v>209</v>
      </c>
      <c r="F75" s="4">
        <v>6.4059252280451159E-2</v>
      </c>
      <c r="I75" t="s">
        <v>227</v>
      </c>
    </row>
    <row r="76" spans="2:10" x14ac:dyDescent="0.3">
      <c r="B76" s="8" t="s">
        <v>9</v>
      </c>
      <c r="C76" s="7" t="s">
        <v>1327</v>
      </c>
      <c r="D76" s="4" t="s">
        <v>228</v>
      </c>
      <c r="E76" t="s">
        <v>209</v>
      </c>
      <c r="F76" s="4">
        <v>3.8694981361929844E-2</v>
      </c>
      <c r="I76" t="s">
        <v>229</v>
      </c>
    </row>
    <row r="77" spans="2:10" x14ac:dyDescent="0.3">
      <c r="B77" s="8" t="s">
        <v>9</v>
      </c>
      <c r="C77" s="17" t="s">
        <v>230</v>
      </c>
      <c r="D77" s="4" t="s">
        <v>231</v>
      </c>
      <c r="E77" t="s">
        <v>209</v>
      </c>
      <c r="F77" s="4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232</v>
      </c>
    </row>
    <row r="78" spans="2:10" x14ac:dyDescent="0.3">
      <c r="B78" s="8" t="s">
        <v>9</v>
      </c>
      <c r="C78" s="7" t="s">
        <v>1327</v>
      </c>
      <c r="D78" s="4" t="s">
        <v>233</v>
      </c>
      <c r="E78" t="s">
        <v>209</v>
      </c>
      <c r="F78" s="4">
        <v>0.27048296818181822</v>
      </c>
      <c r="I78" t="s">
        <v>234</v>
      </c>
    </row>
    <row r="79" spans="2:10" x14ac:dyDescent="0.3">
      <c r="B79" s="8" t="s">
        <v>9</v>
      </c>
      <c r="C79" s="7" t="s">
        <v>1327</v>
      </c>
      <c r="D79" s="4">
        <v>244.89999999999998</v>
      </c>
      <c r="E79" t="s">
        <v>235</v>
      </c>
      <c r="F79" s="4">
        <v>0.22092429</v>
      </c>
      <c r="I79" t="s">
        <v>236</v>
      </c>
    </row>
    <row r="80" spans="2:10" x14ac:dyDescent="0.3">
      <c r="B80" s="8" t="s">
        <v>9</v>
      </c>
      <c r="C80" s="7" t="s">
        <v>1327</v>
      </c>
      <c r="D80" s="4">
        <v>173.3</v>
      </c>
      <c r="E80" t="s">
        <v>237</v>
      </c>
      <c r="F80" s="4">
        <v>0.17330000000000001</v>
      </c>
      <c r="I80" t="s">
        <v>238</v>
      </c>
    </row>
    <row r="81" spans="2:9" x14ac:dyDescent="0.3">
      <c r="B81" s="8" t="s">
        <v>9</v>
      </c>
      <c r="C81" s="7" t="s">
        <v>1327</v>
      </c>
      <c r="D81" s="4" t="s">
        <v>239</v>
      </c>
      <c r="E81" t="s">
        <v>209</v>
      </c>
      <c r="F81" s="4">
        <v>0.42200244200000009</v>
      </c>
      <c r="I81" t="s">
        <v>240</v>
      </c>
    </row>
    <row r="82" spans="2:9" x14ac:dyDescent="0.3">
      <c r="B82" s="8" t="s">
        <v>9</v>
      </c>
      <c r="C82" s="17" t="s">
        <v>241</v>
      </c>
      <c r="D82" s="4" t="s">
        <v>242</v>
      </c>
      <c r="E82" t="s">
        <v>243</v>
      </c>
      <c r="F82" s="4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244</v>
      </c>
    </row>
    <row r="83" spans="2:9" x14ac:dyDescent="0.3">
      <c r="B83" s="8" t="s">
        <v>9</v>
      </c>
      <c r="C83" s="17" t="s">
        <v>1327</v>
      </c>
      <c r="D83" s="4" t="s">
        <v>245</v>
      </c>
      <c r="E83" t="s">
        <v>246</v>
      </c>
      <c r="F83" s="4">
        <v>9.661636842105284E-2</v>
      </c>
      <c r="I83" t="s">
        <v>247</v>
      </c>
    </row>
    <row r="84" spans="2:9" x14ac:dyDescent="0.3">
      <c r="B84" s="8" t="s">
        <v>9</v>
      </c>
      <c r="C84" s="17" t="s">
        <v>1327</v>
      </c>
      <c r="D84" s="4" t="s">
        <v>248</v>
      </c>
      <c r="E84" t="s">
        <v>249</v>
      </c>
      <c r="F84" s="4">
        <v>3.0570833333333339E-2</v>
      </c>
      <c r="I84" t="s">
        <v>250</v>
      </c>
    </row>
    <row r="85" spans="2:9" x14ac:dyDescent="0.3">
      <c r="B85" s="8" t="s">
        <v>9</v>
      </c>
      <c r="C85" s="7" t="s">
        <v>1327</v>
      </c>
      <c r="D85" s="4">
        <v>13</v>
      </c>
      <c r="E85" t="s">
        <v>251</v>
      </c>
      <c r="F85" s="4">
        <v>3.8826950370000002E-2</v>
      </c>
      <c r="I85" t="s">
        <v>252</v>
      </c>
    </row>
    <row r="86" spans="2:9" x14ac:dyDescent="0.3">
      <c r="B86" s="8" t="s">
        <v>9</v>
      </c>
      <c r="C86" s="7" t="s">
        <v>1327</v>
      </c>
      <c r="D86" s="4" t="s">
        <v>253</v>
      </c>
      <c r="E86" t="s">
        <v>254</v>
      </c>
      <c r="F86" s="4">
        <v>3.7344619099999997E-2</v>
      </c>
      <c r="I86" t="s">
        <v>255</v>
      </c>
    </row>
    <row r="87" spans="2:9" x14ac:dyDescent="0.3">
      <c r="B87" s="8" t="s">
        <v>9</v>
      </c>
      <c r="C87" s="17" t="s">
        <v>256</v>
      </c>
      <c r="D87" s="4">
        <v>80</v>
      </c>
      <c r="E87" t="s">
        <v>254</v>
      </c>
      <c r="F87" s="4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257</v>
      </c>
    </row>
    <row r="88" spans="2:9" x14ac:dyDescent="0.3">
      <c r="B88" s="8" t="s">
        <v>9</v>
      </c>
      <c r="C88" s="7" t="s">
        <v>1327</v>
      </c>
      <c r="D88" s="4" t="s">
        <v>258</v>
      </c>
      <c r="E88" t="s">
        <v>259</v>
      </c>
      <c r="F88" s="4">
        <v>6.9333501754385893E-2</v>
      </c>
      <c r="I88" t="s">
        <v>260</v>
      </c>
    </row>
    <row r="89" spans="2:9" x14ac:dyDescent="0.3">
      <c r="B89" s="8" t="s">
        <v>9</v>
      </c>
      <c r="C89" s="17" t="s">
        <v>1327</v>
      </c>
      <c r="D89" s="4" t="s">
        <v>261</v>
      </c>
      <c r="E89" t="s">
        <v>262</v>
      </c>
      <c r="F89" s="4">
        <v>7.0346491228070088E-2</v>
      </c>
      <c r="I89" t="s">
        <v>263</v>
      </c>
    </row>
    <row r="90" spans="2:9" x14ac:dyDescent="0.3">
      <c r="B90" s="8" t="s">
        <v>9</v>
      </c>
      <c r="C90" s="17" t="s">
        <v>264</v>
      </c>
      <c r="D90" s="4" t="s">
        <v>265</v>
      </c>
      <c r="E90" t="s">
        <v>266</v>
      </c>
      <c r="F90" s="4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267</v>
      </c>
    </row>
    <row r="91" spans="2:9" x14ac:dyDescent="0.3">
      <c r="B91" s="8" t="s">
        <v>9</v>
      </c>
      <c r="C91" s="17" t="s">
        <v>1327</v>
      </c>
      <c r="D91" s="4">
        <v>346.5</v>
      </c>
      <c r="E91" t="s">
        <v>268</v>
      </c>
      <c r="F91" s="4">
        <v>5.98720815E-2</v>
      </c>
      <c r="I91" t="s">
        <v>269</v>
      </c>
    </row>
    <row r="92" spans="2:9" x14ac:dyDescent="0.3">
      <c r="B92" s="8" t="s">
        <v>9</v>
      </c>
      <c r="C92" s="17" t="s">
        <v>1327</v>
      </c>
      <c r="D92" s="4">
        <v>3.66</v>
      </c>
      <c r="E92" t="s">
        <v>270</v>
      </c>
      <c r="F92" s="4">
        <v>4.5536256000000074E-2</v>
      </c>
      <c r="I92" t="s">
        <v>271</v>
      </c>
    </row>
    <row r="93" spans="2:9" x14ac:dyDescent="0.3">
      <c r="B93" s="8" t="s">
        <v>9</v>
      </c>
      <c r="C93" s="17" t="s">
        <v>1327</v>
      </c>
      <c r="D93" s="4">
        <v>0.45200000000000001</v>
      </c>
      <c r="E93" t="s">
        <v>272</v>
      </c>
      <c r="F93" s="4">
        <v>3.8714989473684222E-2</v>
      </c>
      <c r="I93" t="s">
        <v>273</v>
      </c>
    </row>
    <row r="94" spans="2:9" x14ac:dyDescent="0.3">
      <c r="B94" s="8" t="s">
        <v>9</v>
      </c>
      <c r="C94" s="17" t="s">
        <v>1327</v>
      </c>
      <c r="D94" s="4" t="s">
        <v>274</v>
      </c>
      <c r="E94" t="s">
        <v>275</v>
      </c>
      <c r="F94" s="4">
        <v>2.7911747368421093E-2</v>
      </c>
      <c r="I94" t="s">
        <v>276</v>
      </c>
    </row>
    <row r="95" spans="2:9" x14ac:dyDescent="0.3">
      <c r="B95" s="8" t="s">
        <v>9</v>
      </c>
      <c r="C95" s="17" t="s">
        <v>277</v>
      </c>
      <c r="D95" s="4" t="s">
        <v>278</v>
      </c>
      <c r="E95" t="s">
        <v>279</v>
      </c>
      <c r="F95" s="4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280</v>
      </c>
    </row>
    <row r="96" spans="2:9" x14ac:dyDescent="0.3">
      <c r="B96" s="8" t="s">
        <v>9</v>
      </c>
      <c r="C96" s="17" t="s">
        <v>1327</v>
      </c>
      <c r="D96" s="4">
        <v>2.4E-2</v>
      </c>
      <c r="E96" t="s">
        <v>281</v>
      </c>
      <c r="F96" s="4">
        <v>2.4018563303659774E-2</v>
      </c>
      <c r="I96" t="s">
        <v>282</v>
      </c>
    </row>
    <row r="97" spans="2:18" x14ac:dyDescent="0.3">
      <c r="B97" s="8" t="s">
        <v>9</v>
      </c>
      <c r="C97" s="17" t="s">
        <v>1327</v>
      </c>
      <c r="D97" s="4">
        <v>2.3599999999999999E-2</v>
      </c>
      <c r="E97" s="19" t="s">
        <v>283</v>
      </c>
      <c r="F97" s="4">
        <v>6.0179999999999997E-2</v>
      </c>
      <c r="I97" t="s">
        <v>284</v>
      </c>
    </row>
    <row r="98" spans="2:18" x14ac:dyDescent="0.3">
      <c r="B98" s="8" t="s">
        <v>9</v>
      </c>
      <c r="C98" s="17" t="s">
        <v>1327</v>
      </c>
      <c r="D98" s="4" t="s">
        <v>285</v>
      </c>
      <c r="E98" t="s">
        <v>286</v>
      </c>
      <c r="F98" s="4">
        <v>0.14071532222222224</v>
      </c>
      <c r="I98" t="s">
        <v>287</v>
      </c>
    </row>
    <row r="99" spans="2:18" x14ac:dyDescent="0.3">
      <c r="B99" s="8" t="s">
        <v>9</v>
      </c>
      <c r="C99" s="17" t="s">
        <v>1327</v>
      </c>
      <c r="D99" s="4" t="s">
        <v>288</v>
      </c>
      <c r="E99" t="s">
        <v>259</v>
      </c>
      <c r="F99" s="4">
        <v>0.15883775008417508</v>
      </c>
      <c r="I99" t="s">
        <v>289</v>
      </c>
    </row>
    <row r="100" spans="2:18" ht="12" customHeight="1" x14ac:dyDescent="0.3">
      <c r="B100" s="8" t="s">
        <v>9</v>
      </c>
      <c r="C100" s="17" t="s">
        <v>290</v>
      </c>
      <c r="D100" s="4">
        <v>79</v>
      </c>
      <c r="E100" t="s">
        <v>291</v>
      </c>
      <c r="F100" s="4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292</v>
      </c>
    </row>
    <row r="101" spans="2:18" ht="12" customHeight="1" x14ac:dyDescent="0.3">
      <c r="B101" s="8" t="s">
        <v>9</v>
      </c>
      <c r="C101" s="17" t="s">
        <v>1327</v>
      </c>
      <c r="D101" s="4" t="s">
        <v>293</v>
      </c>
      <c r="E101" t="s">
        <v>294</v>
      </c>
      <c r="F101" s="4">
        <v>7.1974333333333348E-2</v>
      </c>
      <c r="I101" t="s">
        <v>295</v>
      </c>
    </row>
    <row r="102" spans="2:18" x14ac:dyDescent="0.3">
      <c r="B102" s="8" t="s">
        <v>9</v>
      </c>
      <c r="C102" s="17" t="s">
        <v>296</v>
      </c>
      <c r="D102" s="4" t="s">
        <v>297</v>
      </c>
      <c r="E102" t="s">
        <v>298</v>
      </c>
      <c r="F102" s="4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299</v>
      </c>
    </row>
    <row r="103" spans="2:18" x14ac:dyDescent="0.3">
      <c r="B103" s="8" t="s">
        <v>9</v>
      </c>
      <c r="C103" s="17" t="s">
        <v>1327</v>
      </c>
      <c r="D103" s="4" t="s">
        <v>300</v>
      </c>
      <c r="E103" t="s">
        <v>301</v>
      </c>
      <c r="F103" s="4">
        <v>0.110576289398281</v>
      </c>
      <c r="I103" t="s">
        <v>302</v>
      </c>
    </row>
    <row r="104" spans="2:18" x14ac:dyDescent="0.3">
      <c r="B104" s="8" t="s">
        <v>9</v>
      </c>
      <c r="C104" s="17" t="s">
        <v>1327</v>
      </c>
      <c r="D104" s="4" t="s">
        <v>303</v>
      </c>
      <c r="E104" t="s">
        <v>291</v>
      </c>
      <c r="F104" s="4">
        <v>0.10434246646113374</v>
      </c>
      <c r="I104" t="s">
        <v>304</v>
      </c>
    </row>
    <row r="105" spans="2:18" x14ac:dyDescent="0.3">
      <c r="B105" s="8" t="s">
        <v>9</v>
      </c>
      <c r="C105" s="17" t="s">
        <v>1327</v>
      </c>
      <c r="D105" s="4">
        <v>0.14400000000000002</v>
      </c>
      <c r="E105" t="s">
        <v>305</v>
      </c>
      <c r="F105" s="4">
        <v>0.14400000000000002</v>
      </c>
      <c r="I105" t="s">
        <v>306</v>
      </c>
    </row>
    <row r="106" spans="2:18" x14ac:dyDescent="0.3">
      <c r="B106" s="8" t="s">
        <v>9</v>
      </c>
      <c r="C106" s="17" t="s">
        <v>1327</v>
      </c>
      <c r="D106" s="4" t="s">
        <v>307</v>
      </c>
      <c r="E106" t="s">
        <v>308</v>
      </c>
      <c r="F106" s="4">
        <v>0.12678605504587154</v>
      </c>
      <c r="I106" t="s">
        <v>309</v>
      </c>
    </row>
    <row r="107" spans="2:18" x14ac:dyDescent="0.3">
      <c r="B107" s="8" t="s">
        <v>9</v>
      </c>
      <c r="C107" s="17" t="s">
        <v>310</v>
      </c>
      <c r="D107" s="4">
        <v>0.10587464648573532</v>
      </c>
      <c r="E107" s="4" t="s">
        <v>65</v>
      </c>
      <c r="F107" s="4">
        <v>5.2937323242867658E-2</v>
      </c>
      <c r="G107" s="1">
        <f>F107</f>
        <v>5.2937323242867658E-2</v>
      </c>
      <c r="H107">
        <v>0</v>
      </c>
      <c r="I107" s="13" t="s">
        <v>66</v>
      </c>
    </row>
    <row r="108" spans="2:18" x14ac:dyDescent="0.3">
      <c r="B108" s="8" t="s">
        <v>9</v>
      </c>
      <c r="C108" s="17" t="s">
        <v>311</v>
      </c>
      <c r="D108" s="4" t="s">
        <v>312</v>
      </c>
      <c r="E108" s="4" t="s">
        <v>313</v>
      </c>
      <c r="F108" s="4">
        <v>7.0000000000000007E-2</v>
      </c>
      <c r="G108" s="1">
        <f>AVERAGE(F108:F112)</f>
        <v>0.21621000000000001</v>
      </c>
      <c r="I108" s="10" t="s">
        <v>314</v>
      </c>
    </row>
    <row r="109" spans="2:18" x14ac:dyDescent="0.3">
      <c r="B109" s="8" t="s">
        <v>9</v>
      </c>
      <c r="C109" s="17"/>
      <c r="D109" s="4" t="s">
        <v>315</v>
      </c>
      <c r="E109" s="4" t="s">
        <v>316</v>
      </c>
      <c r="F109" s="4">
        <v>0.3</v>
      </c>
      <c r="I109" s="10" t="s">
        <v>317</v>
      </c>
    </row>
    <row r="110" spans="2:18" x14ac:dyDescent="0.3">
      <c r="B110" s="8" t="s">
        <v>9</v>
      </c>
      <c r="C110" s="17"/>
      <c r="D110" s="4" t="s">
        <v>318</v>
      </c>
      <c r="E110" s="4" t="s">
        <v>319</v>
      </c>
      <c r="F110" s="4">
        <v>0.26</v>
      </c>
      <c r="I110" s="10" t="s">
        <v>320</v>
      </c>
    </row>
    <row r="111" spans="2:18" x14ac:dyDescent="0.3">
      <c r="B111" s="8" t="s">
        <v>9</v>
      </c>
      <c r="C111" s="17"/>
      <c r="D111" s="4">
        <v>354</v>
      </c>
      <c r="E111" s="4" t="s">
        <v>321</v>
      </c>
      <c r="F111" s="4">
        <v>0.27</v>
      </c>
      <c r="I111" t="s">
        <v>322</v>
      </c>
    </row>
    <row r="112" spans="2:18" x14ac:dyDescent="0.3">
      <c r="B112" s="8" t="s">
        <v>9</v>
      </c>
      <c r="C112" s="20"/>
      <c r="D112" s="20">
        <v>0.36209999999999998</v>
      </c>
      <c r="E112" s="20" t="s">
        <v>323</v>
      </c>
      <c r="F112" s="20">
        <v>0.18104999999999999</v>
      </c>
      <c r="G112" s="20"/>
      <c r="H112" s="20"/>
      <c r="I112" s="13" t="s">
        <v>66</v>
      </c>
      <c r="J112" s="17"/>
      <c r="K112" s="4"/>
      <c r="L112" s="4"/>
      <c r="M112" s="4"/>
      <c r="N112" s="1"/>
      <c r="R112" s="10"/>
    </row>
    <row r="113" spans="2:10" x14ac:dyDescent="0.3">
      <c r="B113" s="8" t="s">
        <v>9</v>
      </c>
      <c r="C113" s="17" t="s">
        <v>324</v>
      </c>
      <c r="D113" s="4">
        <v>65</v>
      </c>
      <c r="E113" s="4" t="s">
        <v>325</v>
      </c>
      <c r="F113" s="4">
        <v>6.5000000000000002E-2</v>
      </c>
      <c r="G113" s="1">
        <f>AVERAGE(F113:F117)</f>
        <v>0.12896649825000001</v>
      </c>
      <c r="I113" s="10" t="s">
        <v>326</v>
      </c>
    </row>
    <row r="114" spans="2:10" x14ac:dyDescent="0.3">
      <c r="B114" s="8" t="s">
        <v>9</v>
      </c>
      <c r="C114" s="17"/>
      <c r="D114" s="4">
        <v>251</v>
      </c>
      <c r="E114" s="4" t="s">
        <v>327</v>
      </c>
      <c r="F114" s="4">
        <v>0.19829000000000002</v>
      </c>
      <c r="I114" s="10" t="s">
        <v>328</v>
      </c>
    </row>
    <row r="115" spans="2:10" x14ac:dyDescent="0.3">
      <c r="B115" s="8" t="s">
        <v>9</v>
      </c>
      <c r="C115" s="17"/>
      <c r="D115" s="4">
        <v>17.899999999999999</v>
      </c>
      <c r="E115" s="4" t="s">
        <v>329</v>
      </c>
      <c r="F115" s="4">
        <v>0.17899999999999999</v>
      </c>
      <c r="I115" s="10" t="s">
        <v>330</v>
      </c>
    </row>
    <row r="116" spans="2:10" x14ac:dyDescent="0.3">
      <c r="B116" s="8" t="s">
        <v>9</v>
      </c>
      <c r="C116" s="17"/>
      <c r="D116">
        <v>2.896249125E-2</v>
      </c>
      <c r="E116" s="4"/>
      <c r="F116" s="4">
        <v>2.896249125E-2</v>
      </c>
      <c r="I116" s="10" t="s">
        <v>331</v>
      </c>
    </row>
    <row r="117" spans="2:10" x14ac:dyDescent="0.3">
      <c r="B117" s="8" t="s">
        <v>9</v>
      </c>
      <c r="C117" s="17"/>
      <c r="D117">
        <v>0.17358000000000001</v>
      </c>
      <c r="E117" s="4"/>
      <c r="F117" s="4">
        <v>0.17358000000000001</v>
      </c>
      <c r="I117" s="10" t="s">
        <v>332</v>
      </c>
    </row>
    <row r="118" spans="2:10" x14ac:dyDescent="0.3">
      <c r="B118" s="8" t="s">
        <v>9</v>
      </c>
      <c r="C118" s="17" t="s">
        <v>333</v>
      </c>
      <c r="D118" s="4" t="s">
        <v>334</v>
      </c>
      <c r="E118" s="4" t="s">
        <v>335</v>
      </c>
      <c r="F118" s="4">
        <v>2.1583200000000004E-2</v>
      </c>
      <c r="G118" s="1">
        <f>_xlfn.STDEV.S(F118:F119)</f>
        <v>1.1099365342023266E-2</v>
      </c>
      <c r="I118" t="s">
        <v>336</v>
      </c>
      <c r="J118" t="s">
        <v>337</v>
      </c>
    </row>
    <row r="119" spans="2:10" x14ac:dyDescent="0.3">
      <c r="B119" s="8" t="s">
        <v>9</v>
      </c>
      <c r="C119" s="17"/>
      <c r="D119" s="4">
        <v>9.8000000000000007</v>
      </c>
      <c r="E119" s="4" t="s">
        <v>335</v>
      </c>
      <c r="F119" s="4">
        <v>3.72800730004232E-2</v>
      </c>
      <c r="I119" s="21" t="s">
        <v>338</v>
      </c>
      <c r="J119" t="s">
        <v>339</v>
      </c>
    </row>
    <row r="120" spans="2:10" x14ac:dyDescent="0.3">
      <c r="B120" s="8" t="s">
        <v>9</v>
      </c>
      <c r="C120" s="17" t="s">
        <v>340</v>
      </c>
      <c r="D120"/>
      <c r="E120" s="4" t="s">
        <v>65</v>
      </c>
      <c r="F120">
        <v>3.957939382716049E-2</v>
      </c>
      <c r="G120" s="1">
        <f t="shared" ref="G120" si="0">F120</f>
        <v>3.957939382716049E-2</v>
      </c>
      <c r="H120">
        <v>0</v>
      </c>
      <c r="I120" s="13" t="s">
        <v>66</v>
      </c>
    </row>
    <row r="121" spans="2:10" x14ac:dyDescent="0.3">
      <c r="B121" s="22" t="s">
        <v>341</v>
      </c>
      <c r="C121" s="9" t="s">
        <v>10</v>
      </c>
      <c r="D121" s="4" t="s">
        <v>342</v>
      </c>
      <c r="E121" t="s">
        <v>343</v>
      </c>
      <c r="F121" s="4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10" t="s">
        <v>344</v>
      </c>
    </row>
    <row r="122" spans="2:10" x14ac:dyDescent="0.3">
      <c r="B122" s="22" t="s">
        <v>341</v>
      </c>
      <c r="C122" s="9"/>
      <c r="D122" s="4" t="s">
        <v>345</v>
      </c>
      <c r="E122" t="s">
        <v>346</v>
      </c>
      <c r="F122" s="4">
        <v>1.1985945030739591E-2</v>
      </c>
      <c r="I122" s="10" t="s">
        <v>347</v>
      </c>
    </row>
    <row r="123" spans="2:10" x14ac:dyDescent="0.3">
      <c r="B123" s="22" t="s">
        <v>341</v>
      </c>
      <c r="C123" s="9" t="s">
        <v>1327</v>
      </c>
      <c r="D123" s="4" t="s">
        <v>348</v>
      </c>
      <c r="E123" t="s">
        <v>343</v>
      </c>
      <c r="F123" s="4">
        <v>1.5031103892255889E-2</v>
      </c>
      <c r="I123" s="10" t="s">
        <v>349</v>
      </c>
    </row>
    <row r="124" spans="2:10" x14ac:dyDescent="0.3">
      <c r="B124" s="22" t="s">
        <v>341</v>
      </c>
      <c r="C124" s="9" t="s">
        <v>1327</v>
      </c>
      <c r="D124" s="4" t="s">
        <v>350</v>
      </c>
      <c r="E124" t="s">
        <v>343</v>
      </c>
      <c r="F124" s="4">
        <v>8.9367244981968005E-2</v>
      </c>
      <c r="I124" s="10" t="s">
        <v>351</v>
      </c>
    </row>
    <row r="125" spans="2:10" x14ac:dyDescent="0.3">
      <c r="B125" s="22" t="s">
        <v>341</v>
      </c>
      <c r="C125" s="9" t="s">
        <v>1327</v>
      </c>
      <c r="D125" s="4" t="s">
        <v>352</v>
      </c>
      <c r="E125" t="s">
        <v>343</v>
      </c>
      <c r="F125" s="4">
        <v>6.4420138633184562E-2</v>
      </c>
      <c r="I125" s="10" t="s">
        <v>353</v>
      </c>
    </row>
    <row r="126" spans="2:10" x14ac:dyDescent="0.3">
      <c r="B126" s="22" t="s">
        <v>341</v>
      </c>
      <c r="C126" t="s">
        <v>24</v>
      </c>
      <c r="D126">
        <v>0</v>
      </c>
      <c r="E126" s="4" t="s">
        <v>65</v>
      </c>
      <c r="F126">
        <v>0</v>
      </c>
      <c r="G126" s="1">
        <f t="shared" ref="G126:G134" si="1">F126</f>
        <v>0</v>
      </c>
      <c r="H126">
        <v>0</v>
      </c>
      <c r="I126" s="13" t="s">
        <v>66</v>
      </c>
    </row>
    <row r="127" spans="2:10" x14ac:dyDescent="0.3">
      <c r="B127" s="22" t="s">
        <v>341</v>
      </c>
      <c r="C127" t="s">
        <v>29</v>
      </c>
      <c r="D127">
        <v>0.112716</v>
      </c>
      <c r="E127" s="4" t="s">
        <v>65</v>
      </c>
      <c r="F127">
        <v>5.6357999999999998E-2</v>
      </c>
      <c r="G127" s="1">
        <f t="shared" si="1"/>
        <v>5.6357999999999998E-2</v>
      </c>
      <c r="H127">
        <v>0</v>
      </c>
      <c r="I127" s="13" t="s">
        <v>66</v>
      </c>
      <c r="J127" s="10" t="s">
        <v>354</v>
      </c>
    </row>
    <row r="128" spans="2:10" x14ac:dyDescent="0.3">
      <c r="B128" s="22" t="s">
        <v>341</v>
      </c>
      <c r="C128" s="9" t="s">
        <v>33</v>
      </c>
      <c r="D128"/>
      <c r="E128" s="4" t="s">
        <v>65</v>
      </c>
      <c r="F128">
        <v>1.4750590909090908E-2</v>
      </c>
      <c r="G128" s="1">
        <f t="shared" si="1"/>
        <v>1.4750590909090908E-2</v>
      </c>
      <c r="H128">
        <v>1</v>
      </c>
      <c r="I128" s="13" t="s">
        <v>66</v>
      </c>
    </row>
    <row r="129" spans="2:11" x14ac:dyDescent="0.3">
      <c r="B129" s="22" t="s">
        <v>341</v>
      </c>
      <c r="C129" s="9" t="s">
        <v>47</v>
      </c>
      <c r="D129"/>
      <c r="E129" s="4" t="s">
        <v>65</v>
      </c>
      <c r="F129">
        <v>5.5630799999999994E-2</v>
      </c>
      <c r="G129" s="1">
        <f t="shared" si="1"/>
        <v>5.5630799999999994E-2</v>
      </c>
      <c r="H129">
        <v>0</v>
      </c>
      <c r="I129" s="13" t="s">
        <v>66</v>
      </c>
    </row>
    <row r="130" spans="2:11" x14ac:dyDescent="0.3">
      <c r="B130" s="22" t="s">
        <v>341</v>
      </c>
      <c r="C130" t="s">
        <v>64</v>
      </c>
      <c r="D130">
        <v>0</v>
      </c>
      <c r="E130" s="4" t="s">
        <v>65</v>
      </c>
      <c r="F130">
        <v>0</v>
      </c>
      <c r="G130" s="1">
        <f t="shared" si="1"/>
        <v>0</v>
      </c>
      <c r="H130">
        <v>0</v>
      </c>
      <c r="I130" s="13" t="s">
        <v>66</v>
      </c>
    </row>
    <row r="131" spans="2:11" x14ac:dyDescent="0.3">
      <c r="B131" s="22" t="s">
        <v>341</v>
      </c>
      <c r="C131" t="s">
        <v>67</v>
      </c>
      <c r="D131">
        <v>1.4544E-3</v>
      </c>
      <c r="E131" t="s">
        <v>65</v>
      </c>
      <c r="F131">
        <v>7.272E-4</v>
      </c>
      <c r="G131" s="1">
        <f t="shared" si="1"/>
        <v>7.272E-4</v>
      </c>
      <c r="H131">
        <v>0</v>
      </c>
      <c r="I131" s="13" t="s">
        <v>66</v>
      </c>
    </row>
    <row r="132" spans="2:11" x14ac:dyDescent="0.3">
      <c r="B132" s="22" t="s">
        <v>341</v>
      </c>
      <c r="C132" t="s">
        <v>79</v>
      </c>
      <c r="D132">
        <v>2.7633599999999999E-3</v>
      </c>
      <c r="E132" t="s">
        <v>65</v>
      </c>
      <c r="F132">
        <v>1.3816799999999999E-3</v>
      </c>
      <c r="G132" s="1">
        <f t="shared" si="1"/>
        <v>1.3816799999999999E-3</v>
      </c>
      <c r="H132">
        <v>0</v>
      </c>
      <c r="I132" s="13" t="s">
        <v>66</v>
      </c>
    </row>
    <row r="133" spans="2:11" x14ac:dyDescent="0.3">
      <c r="B133" s="22" t="s">
        <v>341</v>
      </c>
      <c r="C133" t="s">
        <v>83</v>
      </c>
      <c r="D133">
        <v>1.0980719999999999E-2</v>
      </c>
      <c r="E133" t="s">
        <v>65</v>
      </c>
      <c r="F133">
        <v>5.4903599999999997E-3</v>
      </c>
      <c r="G133" s="1">
        <f t="shared" si="1"/>
        <v>5.4903599999999997E-3</v>
      </c>
      <c r="H133">
        <v>0</v>
      </c>
      <c r="I133" s="13" t="s">
        <v>66</v>
      </c>
    </row>
    <row r="134" spans="2:11" x14ac:dyDescent="0.3">
      <c r="B134" s="22" t="s">
        <v>341</v>
      </c>
      <c r="C134" s="9" t="s">
        <v>87</v>
      </c>
      <c r="D134" s="4">
        <v>49.9</v>
      </c>
      <c r="E134" t="s">
        <v>355</v>
      </c>
      <c r="F134" s="4">
        <v>4.99E-2</v>
      </c>
      <c r="G134" s="1">
        <f t="shared" si="1"/>
        <v>4.99E-2</v>
      </c>
      <c r="H134">
        <v>0</v>
      </c>
      <c r="I134" t="s">
        <v>356</v>
      </c>
    </row>
    <row r="135" spans="2:11" x14ac:dyDescent="0.3">
      <c r="B135" s="22" t="s">
        <v>341</v>
      </c>
      <c r="C135" s="9" t="s">
        <v>101</v>
      </c>
      <c r="D135" s="4">
        <v>59.5</v>
      </c>
      <c r="E135" t="s">
        <v>357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358</v>
      </c>
    </row>
    <row r="136" spans="2:11" x14ac:dyDescent="0.3">
      <c r="B136" s="22" t="s">
        <v>341</v>
      </c>
      <c r="C136" s="9" t="s">
        <v>1327</v>
      </c>
      <c r="D136" s="4" t="s">
        <v>359</v>
      </c>
      <c r="E136" t="s">
        <v>357</v>
      </c>
      <c r="F136" s="4">
        <v>4.708349328214971E-2</v>
      </c>
      <c r="I136" t="s">
        <v>358</v>
      </c>
      <c r="J136" t="s">
        <v>360</v>
      </c>
    </row>
    <row r="137" spans="2:11" x14ac:dyDescent="0.3">
      <c r="B137" s="22" t="s">
        <v>341</v>
      </c>
      <c r="C137" s="9" t="s">
        <v>1327</v>
      </c>
      <c r="D137" s="4" t="s">
        <v>361</v>
      </c>
      <c r="E137" t="s">
        <v>362</v>
      </c>
      <c r="F137" s="4">
        <v>0.1174</v>
      </c>
      <c r="I137" t="s">
        <v>363</v>
      </c>
      <c r="J137" t="s">
        <v>364</v>
      </c>
      <c r="K137" s="10" t="s">
        <v>365</v>
      </c>
    </row>
    <row r="138" spans="2:11" x14ac:dyDescent="0.3">
      <c r="B138" s="22" t="s">
        <v>341</v>
      </c>
      <c r="C138" s="9" t="s">
        <v>1327</v>
      </c>
      <c r="D138" s="4">
        <v>45.8</v>
      </c>
      <c r="E138" t="s">
        <v>366</v>
      </c>
      <c r="F138">
        <v>6.0744338000000002E-2</v>
      </c>
      <c r="I138" t="s">
        <v>367</v>
      </c>
      <c r="J138" t="s">
        <v>368</v>
      </c>
      <c r="K138" s="10" t="s">
        <v>365</v>
      </c>
    </row>
    <row r="139" spans="2:11" x14ac:dyDescent="0.3">
      <c r="B139" s="22" t="s">
        <v>341</v>
      </c>
      <c r="C139" s="9" t="s">
        <v>1327</v>
      </c>
      <c r="D139" s="4">
        <v>92</v>
      </c>
      <c r="E139" t="s">
        <v>369</v>
      </c>
      <c r="F139" s="4">
        <v>0.50480400000000003</v>
      </c>
      <c r="I139" t="s">
        <v>370</v>
      </c>
      <c r="J139" t="s">
        <v>371</v>
      </c>
      <c r="K139" s="10" t="s">
        <v>372</v>
      </c>
    </row>
    <row r="140" spans="2:11" x14ac:dyDescent="0.3">
      <c r="B140" s="22" t="s">
        <v>341</v>
      </c>
      <c r="C140" t="s">
        <v>115</v>
      </c>
      <c r="D140">
        <v>0</v>
      </c>
      <c r="E140" t="s">
        <v>65</v>
      </c>
      <c r="F140">
        <v>0</v>
      </c>
      <c r="G140" s="1">
        <v>0</v>
      </c>
      <c r="H140">
        <v>0</v>
      </c>
      <c r="I140" s="13" t="s">
        <v>66</v>
      </c>
      <c r="J140" t="s">
        <v>373</v>
      </c>
    </row>
    <row r="141" spans="2:11" x14ac:dyDescent="0.3">
      <c r="B141" s="22" t="s">
        <v>341</v>
      </c>
      <c r="C141" t="s">
        <v>129</v>
      </c>
      <c r="D141">
        <v>7.7810400000000004E-3</v>
      </c>
      <c r="E141" t="s">
        <v>65</v>
      </c>
      <c r="F141">
        <v>3.8905200000000002E-3</v>
      </c>
      <c r="G141" s="1">
        <f>F141</f>
        <v>3.8905200000000002E-3</v>
      </c>
      <c r="H141">
        <v>0</v>
      </c>
      <c r="I141" s="13" t="s">
        <v>66</v>
      </c>
      <c r="J141" t="s">
        <v>374</v>
      </c>
    </row>
    <row r="142" spans="2:11" x14ac:dyDescent="0.3">
      <c r="B142" s="22" t="s">
        <v>341</v>
      </c>
      <c r="C142" s="9" t="s">
        <v>148</v>
      </c>
      <c r="D142" s="4" t="s">
        <v>375</v>
      </c>
      <c r="E142" t="s">
        <v>376</v>
      </c>
      <c r="F142" s="4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377</v>
      </c>
    </row>
    <row r="143" spans="2:11" x14ac:dyDescent="0.3">
      <c r="B143" s="22" t="s">
        <v>341</v>
      </c>
      <c r="C143" s="9" t="s">
        <v>1327</v>
      </c>
      <c r="D143" s="4" t="s">
        <v>378</v>
      </c>
      <c r="E143" t="s">
        <v>379</v>
      </c>
      <c r="F143" s="4">
        <v>4.8649999999999999E-2</v>
      </c>
      <c r="I143" t="s">
        <v>380</v>
      </c>
    </row>
    <row r="144" spans="2:11" x14ac:dyDescent="0.3">
      <c r="B144" s="22" t="s">
        <v>341</v>
      </c>
      <c r="C144" t="s">
        <v>164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3" t="s">
        <v>66</v>
      </c>
      <c r="J144" t="s">
        <v>381</v>
      </c>
    </row>
    <row r="145" spans="2:10" x14ac:dyDescent="0.3">
      <c r="B145" s="22" t="s">
        <v>341</v>
      </c>
      <c r="C145" s="9" t="s">
        <v>181</v>
      </c>
      <c r="D145" s="4">
        <v>0</v>
      </c>
      <c r="E145" s="4" t="s">
        <v>65</v>
      </c>
      <c r="F145" s="4">
        <v>0</v>
      </c>
      <c r="G145" s="1">
        <f>F145</f>
        <v>0</v>
      </c>
      <c r="I145" s="13" t="s">
        <v>66</v>
      </c>
      <c r="J145" t="s">
        <v>382</v>
      </c>
    </row>
    <row r="146" spans="2:10" x14ac:dyDescent="0.3">
      <c r="B146" s="22" t="s">
        <v>341</v>
      </c>
      <c r="C146" s="9" t="s">
        <v>192</v>
      </c>
      <c r="D146" s="4">
        <v>0.06</v>
      </c>
      <c r="E146" t="s">
        <v>383</v>
      </c>
      <c r="F146" s="4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384</v>
      </c>
    </row>
    <row r="147" spans="2:10" x14ac:dyDescent="0.3">
      <c r="B147" s="22" t="s">
        <v>341</v>
      </c>
      <c r="C147" s="9" t="s">
        <v>1327</v>
      </c>
      <c r="D147" s="4">
        <v>0.9</v>
      </c>
      <c r="E147" t="s">
        <v>385</v>
      </c>
      <c r="F147" s="4">
        <v>8.5016951999999979E-2</v>
      </c>
      <c r="I147" t="s">
        <v>386</v>
      </c>
    </row>
    <row r="148" spans="2:10" x14ac:dyDescent="0.3">
      <c r="B148" s="22" t="s">
        <v>341</v>
      </c>
      <c r="C148" s="9" t="s">
        <v>1327</v>
      </c>
      <c r="D148" s="4">
        <v>0.55000000000000004</v>
      </c>
      <c r="E148" t="s">
        <v>387</v>
      </c>
      <c r="F148" s="4">
        <v>5.1954803999999993E-2</v>
      </c>
      <c r="I148" t="s">
        <v>388</v>
      </c>
    </row>
    <row r="149" spans="2:10" x14ac:dyDescent="0.3">
      <c r="B149" s="22" t="s">
        <v>341</v>
      </c>
      <c r="C149" s="9" t="s">
        <v>1327</v>
      </c>
      <c r="D149" s="4">
        <v>8.9</v>
      </c>
      <c r="E149" t="s">
        <v>389</v>
      </c>
      <c r="F149" s="4">
        <v>8.8999999999999996E-2</v>
      </c>
      <c r="I149" t="s">
        <v>390</v>
      </c>
    </row>
    <row r="150" spans="2:10" x14ac:dyDescent="0.3">
      <c r="B150" s="22" t="s">
        <v>341</v>
      </c>
      <c r="C150" s="9" t="s">
        <v>1327</v>
      </c>
      <c r="D150" s="16">
        <v>10.5</v>
      </c>
      <c r="E150" t="s">
        <v>389</v>
      </c>
      <c r="F150" s="4">
        <v>0.105</v>
      </c>
      <c r="I150" t="s">
        <v>391</v>
      </c>
    </row>
    <row r="151" spans="2:10" x14ac:dyDescent="0.3">
      <c r="B151" s="22" t="s">
        <v>341</v>
      </c>
      <c r="C151" s="17" t="s">
        <v>204</v>
      </c>
      <c r="D151" s="4">
        <v>4.9013279999999999E-2</v>
      </c>
      <c r="E151" s="4" t="s">
        <v>65</v>
      </c>
      <c r="F151" s="4">
        <v>2.450664E-2</v>
      </c>
      <c r="G151" s="1">
        <f t="shared" ref="G151:G161" si="2">F151</f>
        <v>2.450664E-2</v>
      </c>
      <c r="I151" s="13" t="s">
        <v>66</v>
      </c>
    </row>
    <row r="152" spans="2:10" x14ac:dyDescent="0.3">
      <c r="B152" s="22" t="s">
        <v>341</v>
      </c>
      <c r="C152" s="17" t="s">
        <v>217</v>
      </c>
      <c r="D152" s="4">
        <v>2.1815999999999996E-4</v>
      </c>
      <c r="E152" s="4" t="s">
        <v>65</v>
      </c>
      <c r="F152" s="4">
        <v>1.0907999999999998E-4</v>
      </c>
      <c r="G152" s="1">
        <f t="shared" si="2"/>
        <v>1.0907999999999998E-4</v>
      </c>
      <c r="I152" s="13" t="s">
        <v>66</v>
      </c>
    </row>
    <row r="153" spans="2:10" ht="12" customHeight="1" x14ac:dyDescent="0.3">
      <c r="B153" s="22" t="s">
        <v>341</v>
      </c>
      <c r="C153" s="17" t="s">
        <v>230</v>
      </c>
      <c r="D153" s="4">
        <v>7.4545271999999996E-2</v>
      </c>
      <c r="E153" s="4" t="s">
        <v>65</v>
      </c>
      <c r="F153" s="4">
        <v>3.7272635999999998E-2</v>
      </c>
      <c r="G153" s="1">
        <f t="shared" si="2"/>
        <v>3.7272635999999998E-2</v>
      </c>
      <c r="I153" s="13" t="s">
        <v>66</v>
      </c>
      <c r="J153" s="18"/>
    </row>
    <row r="154" spans="2:10" ht="12" customHeight="1" x14ac:dyDescent="0.3">
      <c r="B154" s="22" t="s">
        <v>341</v>
      </c>
      <c r="C154" s="17" t="s">
        <v>241</v>
      </c>
      <c r="D154" s="4">
        <v>2.0725199999999999E-2</v>
      </c>
      <c r="E154" s="4" t="s">
        <v>65</v>
      </c>
      <c r="F154" s="4">
        <v>1.03626E-2</v>
      </c>
      <c r="G154" s="1">
        <f t="shared" si="2"/>
        <v>1.03626E-2</v>
      </c>
      <c r="I154" s="13" t="s">
        <v>66</v>
      </c>
    </row>
    <row r="155" spans="2:10" x14ac:dyDescent="0.3">
      <c r="B155" s="22" t="s">
        <v>341</v>
      </c>
      <c r="C155" s="17" t="s">
        <v>256</v>
      </c>
      <c r="D155" s="4">
        <v>0</v>
      </c>
      <c r="E155" s="4" t="s">
        <v>65</v>
      </c>
      <c r="F155" s="4">
        <v>0</v>
      </c>
      <c r="G155" s="1">
        <f t="shared" si="2"/>
        <v>0</v>
      </c>
      <c r="I155" s="13" t="s">
        <v>66</v>
      </c>
    </row>
    <row r="156" spans="2:10" x14ac:dyDescent="0.3">
      <c r="B156" s="22" t="s">
        <v>341</v>
      </c>
      <c r="C156" s="17" t="s">
        <v>264</v>
      </c>
      <c r="D156" s="4">
        <v>0</v>
      </c>
      <c r="E156" s="4" t="s">
        <v>65</v>
      </c>
      <c r="F156" s="4">
        <v>0</v>
      </c>
      <c r="G156" s="1">
        <f t="shared" si="2"/>
        <v>0</v>
      </c>
      <c r="I156" s="13" t="s">
        <v>66</v>
      </c>
    </row>
    <row r="157" spans="2:10" x14ac:dyDescent="0.3">
      <c r="B157" s="22" t="s">
        <v>341</v>
      </c>
      <c r="C157" s="17" t="s">
        <v>277</v>
      </c>
      <c r="D157" s="4">
        <v>0.17236292727272706</v>
      </c>
      <c r="E157" s="4" t="s">
        <v>65</v>
      </c>
      <c r="F157" s="4">
        <v>8.6181463636363531E-2</v>
      </c>
      <c r="G157" s="1">
        <f t="shared" si="2"/>
        <v>8.6181463636363531E-2</v>
      </c>
      <c r="I157" s="13" t="s">
        <v>66</v>
      </c>
    </row>
    <row r="158" spans="2:10" x14ac:dyDescent="0.3">
      <c r="B158" s="22" t="s">
        <v>341</v>
      </c>
      <c r="C158" s="17" t="s">
        <v>290</v>
      </c>
      <c r="D158" s="4">
        <v>1.5178647272727293E-3</v>
      </c>
      <c r="E158" s="4" t="s">
        <v>65</v>
      </c>
      <c r="F158" s="4">
        <v>7.5893236363636465E-4</v>
      </c>
      <c r="G158" s="1">
        <f t="shared" si="2"/>
        <v>7.5893236363636465E-4</v>
      </c>
      <c r="I158" s="13" t="s">
        <v>66</v>
      </c>
    </row>
    <row r="159" spans="2:10" x14ac:dyDescent="0.3">
      <c r="B159" s="22" t="s">
        <v>341</v>
      </c>
      <c r="C159" s="17" t="s">
        <v>296</v>
      </c>
      <c r="D159" s="4">
        <v>2.0147952606545489E-3</v>
      </c>
      <c r="E159" s="4" t="s">
        <v>65</v>
      </c>
      <c r="F159" s="4">
        <v>1.0073976303272745E-3</v>
      </c>
      <c r="G159" s="1">
        <f t="shared" si="2"/>
        <v>1.0073976303272745E-3</v>
      </c>
      <c r="I159" s="13" t="s">
        <v>66</v>
      </c>
    </row>
    <row r="160" spans="2:10" ht="12" customHeight="1" x14ac:dyDescent="0.3">
      <c r="B160" s="22" t="s">
        <v>341</v>
      </c>
      <c r="C160" s="17" t="s">
        <v>310</v>
      </c>
      <c r="D160" s="4">
        <v>2.9076127550999998E-3</v>
      </c>
      <c r="E160" s="4" t="s">
        <v>65</v>
      </c>
      <c r="F160" s="4">
        <v>1.4538063775499999E-3</v>
      </c>
      <c r="G160" s="1">
        <f t="shared" si="2"/>
        <v>1.4538063775499999E-3</v>
      </c>
      <c r="I160" s="13" t="s">
        <v>66</v>
      </c>
    </row>
    <row r="161" spans="1:28" ht="12" customHeight="1" x14ac:dyDescent="0.3">
      <c r="B161" s="22" t="s">
        <v>341</v>
      </c>
      <c r="C161" s="17" t="s">
        <v>311</v>
      </c>
      <c r="D161" s="4">
        <v>0.10161810163636364</v>
      </c>
      <c r="E161" s="4" t="s">
        <v>65</v>
      </c>
      <c r="F161" s="4">
        <v>5.0809050818181822E-2</v>
      </c>
      <c r="G161" s="1">
        <f t="shared" si="2"/>
        <v>5.0809050818181822E-2</v>
      </c>
      <c r="I161" s="13" t="s">
        <v>66</v>
      </c>
    </row>
    <row r="162" spans="1:28" ht="12" customHeight="1" x14ac:dyDescent="0.3">
      <c r="B162" s="22" t="s">
        <v>341</v>
      </c>
      <c r="C162" s="17" t="s">
        <v>324</v>
      </c>
      <c r="D162" s="4">
        <v>7.1395008545454539E-2</v>
      </c>
      <c r="E162" s="4" t="s">
        <v>65</v>
      </c>
      <c r="F162" s="4">
        <v>3.5697504272727269E-2</v>
      </c>
      <c r="G162" s="1">
        <f>F162</f>
        <v>3.5697504272727269E-2</v>
      </c>
      <c r="I162" s="13" t="s">
        <v>66</v>
      </c>
    </row>
    <row r="163" spans="1:28" x14ac:dyDescent="0.3">
      <c r="A163" s="14"/>
      <c r="B163" s="22" t="s">
        <v>341</v>
      </c>
      <c r="C163" s="14" t="s">
        <v>333</v>
      </c>
      <c r="E163" s="4" t="s">
        <v>65</v>
      </c>
      <c r="F163" s="4">
        <v>1.839816E-2</v>
      </c>
      <c r="G163" s="1">
        <f t="shared" ref="G163:G164" si="3">F163</f>
        <v>1.839816E-2</v>
      </c>
      <c r="I163" s="13" t="s">
        <v>66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x14ac:dyDescent="0.3">
      <c r="A164" s="14"/>
      <c r="B164" s="22" t="s">
        <v>341</v>
      </c>
      <c r="C164" s="14" t="s">
        <v>340</v>
      </c>
      <c r="E164" s="4" t="s">
        <v>65</v>
      </c>
      <c r="F164" s="4">
        <v>4.434845727272727E-3</v>
      </c>
      <c r="G164" s="1">
        <f t="shared" si="3"/>
        <v>4.434845727272727E-3</v>
      </c>
      <c r="I164" s="13" t="s">
        <v>66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x14ac:dyDescent="0.3">
      <c r="B165" s="23" t="s">
        <v>392</v>
      </c>
      <c r="C165" s="9" t="s">
        <v>10</v>
      </c>
      <c r="D165" s="4" t="s">
        <v>393</v>
      </c>
      <c r="E165" t="s">
        <v>394</v>
      </c>
      <c r="F165" s="4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395</v>
      </c>
    </row>
    <row r="166" spans="1:28" x14ac:dyDescent="0.3">
      <c r="B166" s="23" t="s">
        <v>392</v>
      </c>
      <c r="C166" s="9" t="s">
        <v>1327</v>
      </c>
      <c r="D166" s="4">
        <v>3.46</v>
      </c>
      <c r="E166" t="s">
        <v>396</v>
      </c>
      <c r="F166" s="4">
        <v>3.4599999999999999E-2</v>
      </c>
      <c r="I166" t="s">
        <v>397</v>
      </c>
    </row>
    <row r="167" spans="1:28" x14ac:dyDescent="0.3">
      <c r="B167" s="23" t="s">
        <v>392</v>
      </c>
      <c r="C167" s="9" t="s">
        <v>1327</v>
      </c>
      <c r="D167" s="4" t="s">
        <v>398</v>
      </c>
      <c r="E167" t="s">
        <v>399</v>
      </c>
      <c r="F167" s="4">
        <v>0.21500000000000002</v>
      </c>
      <c r="I167" t="s">
        <v>400</v>
      </c>
      <c r="J167" s="10" t="s">
        <v>401</v>
      </c>
    </row>
    <row r="168" spans="1:28" x14ac:dyDescent="0.3">
      <c r="B168" s="23" t="s">
        <v>392</v>
      </c>
      <c r="C168" t="s">
        <v>24</v>
      </c>
      <c r="D168">
        <v>0.116861111111111</v>
      </c>
      <c r="E168" s="4" t="s">
        <v>65</v>
      </c>
      <c r="F168">
        <v>5.84305555555555E-2</v>
      </c>
      <c r="G168" s="1">
        <f>F168</f>
        <v>5.84305555555555E-2</v>
      </c>
      <c r="H168">
        <v>0</v>
      </c>
      <c r="I168" s="13" t="s">
        <v>66</v>
      </c>
      <c r="J168" s="10" t="s">
        <v>402</v>
      </c>
    </row>
    <row r="169" spans="1:28" x14ac:dyDescent="0.3">
      <c r="B169" s="23" t="s">
        <v>392</v>
      </c>
      <c r="C169" s="9" t="s">
        <v>29</v>
      </c>
      <c r="D169">
        <v>0.37978888888888895</v>
      </c>
      <c r="E169" s="4" t="s">
        <v>65</v>
      </c>
      <c r="F169">
        <v>0.18989444444444448</v>
      </c>
      <c r="G169" s="1">
        <f>F169</f>
        <v>0.18989444444444448</v>
      </c>
      <c r="H169">
        <v>0</v>
      </c>
      <c r="I169" s="13" t="s">
        <v>66</v>
      </c>
      <c r="J169" s="10" t="s">
        <v>403</v>
      </c>
    </row>
    <row r="170" spans="1:28" x14ac:dyDescent="0.3">
      <c r="B170" s="23" t="s">
        <v>392</v>
      </c>
      <c r="C170" s="9" t="s">
        <v>33</v>
      </c>
      <c r="E170" t="s">
        <v>404</v>
      </c>
      <c r="F170" s="4">
        <v>0.24771833333333332</v>
      </c>
      <c r="G170" s="1">
        <f>AVERAGE(F170:F170)</f>
        <v>0.24771833333333332</v>
      </c>
      <c r="H170">
        <f>_xlfn.STDEV.P(F170:F170)</f>
        <v>0</v>
      </c>
      <c r="I170" s="13" t="s">
        <v>66</v>
      </c>
    </row>
    <row r="171" spans="1:28" x14ac:dyDescent="0.3">
      <c r="B171" s="23" t="s">
        <v>392</v>
      </c>
      <c r="C171" s="9" t="s">
        <v>47</v>
      </c>
      <c r="E171" t="s">
        <v>404</v>
      </c>
      <c r="F171" s="4">
        <v>0.12192444444444446</v>
      </c>
      <c r="G171" s="1">
        <f>AVERAGE(F171:F171)</f>
        <v>0.12192444444444446</v>
      </c>
      <c r="H171">
        <f>_xlfn.STDEV.P(F171:F171)</f>
        <v>0</v>
      </c>
      <c r="I171" s="13" t="s">
        <v>66</v>
      </c>
    </row>
    <row r="172" spans="1:28" x14ac:dyDescent="0.3">
      <c r="B172" s="23" t="s">
        <v>392</v>
      </c>
      <c r="C172" t="s">
        <v>64</v>
      </c>
      <c r="E172" t="s">
        <v>404</v>
      </c>
      <c r="F172" s="4">
        <v>0.14630000000000001</v>
      </c>
      <c r="G172" s="1">
        <f>AVERAGE(F172:F172)</f>
        <v>0.14630000000000001</v>
      </c>
      <c r="H172">
        <f>_xlfn.STDEV.P(F172:F172)</f>
        <v>0</v>
      </c>
      <c r="I172" s="13" t="s">
        <v>66</v>
      </c>
    </row>
    <row r="173" spans="1:28" x14ac:dyDescent="0.3">
      <c r="B173" s="23" t="s">
        <v>392</v>
      </c>
      <c r="C173" s="9" t="s">
        <v>67</v>
      </c>
      <c r="D173" s="4" t="s">
        <v>405</v>
      </c>
      <c r="E173" t="s">
        <v>406</v>
      </c>
      <c r="F173" s="4">
        <v>0.27500000000000002</v>
      </c>
      <c r="G173" s="1">
        <f>F173</f>
        <v>0.27500000000000002</v>
      </c>
      <c r="H173">
        <v>0</v>
      </c>
      <c r="I173" t="s">
        <v>400</v>
      </c>
    </row>
    <row r="174" spans="1:28" x14ac:dyDescent="0.3">
      <c r="B174" s="23" t="s">
        <v>392</v>
      </c>
      <c r="C174" t="s">
        <v>79</v>
      </c>
      <c r="D174">
        <v>1.204E-2</v>
      </c>
      <c r="E174" t="s">
        <v>404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3" t="s">
        <v>66</v>
      </c>
    </row>
    <row r="175" spans="1:28" x14ac:dyDescent="0.3">
      <c r="B175" s="23" t="s">
        <v>392</v>
      </c>
      <c r="C175" t="s">
        <v>83</v>
      </c>
      <c r="D175">
        <v>1.1690000000000001E-2</v>
      </c>
      <c r="E175" t="s">
        <v>404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3" t="s">
        <v>66</v>
      </c>
      <c r="J175" t="s">
        <v>403</v>
      </c>
    </row>
    <row r="176" spans="1:28" x14ac:dyDescent="0.3">
      <c r="B176" s="23" t="s">
        <v>392</v>
      </c>
      <c r="C176" s="9" t="s">
        <v>87</v>
      </c>
      <c r="D176" s="4">
        <v>70.7</v>
      </c>
      <c r="E176" t="s">
        <v>407</v>
      </c>
      <c r="F176" s="4">
        <v>0.70700000000000007</v>
      </c>
      <c r="G176" s="1">
        <f>F176</f>
        <v>0.70700000000000007</v>
      </c>
      <c r="H176">
        <v>0</v>
      </c>
      <c r="I176" t="s">
        <v>408</v>
      </c>
    </row>
    <row r="177" spans="2:10" x14ac:dyDescent="0.3">
      <c r="B177" s="23" t="s">
        <v>392</v>
      </c>
      <c r="C177" s="9" t="s">
        <v>101</v>
      </c>
      <c r="D177" s="4" t="s">
        <v>409</v>
      </c>
      <c r="E177" t="s">
        <v>410</v>
      </c>
      <c r="F177" s="4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411</v>
      </c>
    </row>
    <row r="178" spans="2:10" x14ac:dyDescent="0.3">
      <c r="B178" s="23" t="s">
        <v>392</v>
      </c>
      <c r="C178" s="9" t="s">
        <v>1327</v>
      </c>
      <c r="D178">
        <v>72</v>
      </c>
      <c r="E178" t="s">
        <v>412</v>
      </c>
      <c r="F178">
        <v>0.35703869599999999</v>
      </c>
      <c r="I178" t="s">
        <v>413</v>
      </c>
      <c r="J178" t="s">
        <v>414</v>
      </c>
    </row>
    <row r="179" spans="2:10" x14ac:dyDescent="0.3">
      <c r="B179" s="23" t="s">
        <v>392</v>
      </c>
      <c r="C179" s="9" t="s">
        <v>1327</v>
      </c>
      <c r="D179" s="4">
        <v>10</v>
      </c>
      <c r="E179" t="s">
        <v>415</v>
      </c>
      <c r="F179" s="4">
        <v>0.01</v>
      </c>
      <c r="I179" t="s">
        <v>416</v>
      </c>
    </row>
    <row r="180" spans="2:10" x14ac:dyDescent="0.3">
      <c r="B180" s="23" t="s">
        <v>392</v>
      </c>
      <c r="C180" s="9" t="s">
        <v>1327</v>
      </c>
      <c r="D180" t="s">
        <v>417</v>
      </c>
      <c r="E180" t="s">
        <v>418</v>
      </c>
      <c r="F180">
        <v>0.115</v>
      </c>
      <c r="I180" t="s">
        <v>400</v>
      </c>
    </row>
    <row r="181" spans="2:10" x14ac:dyDescent="0.3">
      <c r="B181" s="23" t="s">
        <v>392</v>
      </c>
      <c r="C181" s="9" t="s">
        <v>1327</v>
      </c>
      <c r="D181" t="s">
        <v>419</v>
      </c>
      <c r="E181" t="s">
        <v>420</v>
      </c>
      <c r="F181">
        <v>6.9444443999999994E-2</v>
      </c>
      <c r="I181" t="s">
        <v>421</v>
      </c>
    </row>
    <row r="182" spans="2:10" x14ac:dyDescent="0.3">
      <c r="B182" s="23" t="s">
        <v>392</v>
      </c>
      <c r="C182" s="9" t="s">
        <v>115</v>
      </c>
      <c r="D182" s="4" t="s">
        <v>422</v>
      </c>
      <c r="E182" t="s">
        <v>423</v>
      </c>
      <c r="F182" s="4">
        <v>0.18117343999999999</v>
      </c>
      <c r="G182" s="1">
        <f>F182</f>
        <v>0.18117343999999999</v>
      </c>
      <c r="H182">
        <v>0</v>
      </c>
      <c r="I182" t="s">
        <v>424</v>
      </c>
    </row>
    <row r="183" spans="2:10" x14ac:dyDescent="0.3">
      <c r="B183" s="23" t="s">
        <v>392</v>
      </c>
      <c r="C183" t="s">
        <v>129</v>
      </c>
      <c r="D183" s="4" t="s">
        <v>425</v>
      </c>
      <c r="E183" t="s">
        <v>426</v>
      </c>
      <c r="F183" s="4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427</v>
      </c>
    </row>
    <row r="184" spans="2:10" x14ac:dyDescent="0.3">
      <c r="B184" s="23" t="s">
        <v>392</v>
      </c>
      <c r="C184" t="s">
        <v>1327</v>
      </c>
      <c r="D184" t="s">
        <v>428</v>
      </c>
      <c r="E184" t="s">
        <v>429</v>
      </c>
      <c r="F184">
        <v>3.2075951342842107E-2</v>
      </c>
      <c r="I184" t="s">
        <v>430</v>
      </c>
      <c r="J184" t="s">
        <v>431</v>
      </c>
    </row>
    <row r="185" spans="2:10" x14ac:dyDescent="0.3">
      <c r="B185" s="23" t="s">
        <v>392</v>
      </c>
      <c r="C185" s="9" t="s">
        <v>148</v>
      </c>
      <c r="D185" s="4" t="s">
        <v>432</v>
      </c>
      <c r="E185" t="s">
        <v>433</v>
      </c>
      <c r="F185" s="4">
        <v>5.011111111111112E-2</v>
      </c>
      <c r="G185" s="1">
        <f>F185</f>
        <v>5.011111111111112E-2</v>
      </c>
      <c r="H185">
        <v>0</v>
      </c>
      <c r="I185" t="s">
        <v>434</v>
      </c>
    </row>
    <row r="186" spans="2:10" x14ac:dyDescent="0.3">
      <c r="B186" s="23" t="s">
        <v>392</v>
      </c>
      <c r="C186" s="9" t="s">
        <v>164</v>
      </c>
      <c r="D186"/>
      <c r="E186" t="s">
        <v>404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3" t="s">
        <v>66</v>
      </c>
    </row>
    <row r="187" spans="2:10" x14ac:dyDescent="0.3">
      <c r="B187" s="23" t="s">
        <v>392</v>
      </c>
      <c r="C187" s="9" t="s">
        <v>181</v>
      </c>
      <c r="D187" s="4" t="s">
        <v>435</v>
      </c>
      <c r="E187" t="s">
        <v>436</v>
      </c>
      <c r="F187" s="4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437</v>
      </c>
    </row>
    <row r="188" spans="2:10" x14ac:dyDescent="0.3">
      <c r="B188" s="23" t="s">
        <v>392</v>
      </c>
      <c r="C188" s="9" t="s">
        <v>1327</v>
      </c>
      <c r="D188" s="4">
        <v>18.600000000000001</v>
      </c>
      <c r="E188" t="s">
        <v>436</v>
      </c>
      <c r="F188" s="4">
        <v>0.10763200000000006</v>
      </c>
      <c r="I188" t="s">
        <v>438</v>
      </c>
    </row>
    <row r="189" spans="2:10" ht="15.6" x14ac:dyDescent="0.3">
      <c r="B189" s="23" t="s">
        <v>392</v>
      </c>
      <c r="C189" s="9" t="s">
        <v>1327</v>
      </c>
      <c r="D189" s="24">
        <v>18.100000000000001</v>
      </c>
      <c r="E189" t="s">
        <v>439</v>
      </c>
      <c r="F189" s="4">
        <v>0.18099999999999999</v>
      </c>
      <c r="I189" s="10" t="s">
        <v>440</v>
      </c>
    </row>
    <row r="190" spans="2:10" x14ac:dyDescent="0.3">
      <c r="B190" s="23" t="s">
        <v>392</v>
      </c>
      <c r="C190" s="9" t="s">
        <v>1327</v>
      </c>
      <c r="D190" s="4" t="s">
        <v>441</v>
      </c>
      <c r="E190" t="s">
        <v>436</v>
      </c>
      <c r="F190" s="4">
        <v>0.11596133333333333</v>
      </c>
      <c r="I190" t="s">
        <v>440</v>
      </c>
    </row>
    <row r="191" spans="2:10" ht="15.6" x14ac:dyDescent="0.3">
      <c r="B191" s="23" t="s">
        <v>392</v>
      </c>
      <c r="C191" s="9" t="s">
        <v>1327</v>
      </c>
      <c r="D191" s="24">
        <v>22.6</v>
      </c>
      <c r="E191" t="s">
        <v>442</v>
      </c>
      <c r="F191" s="4">
        <v>0.22600000000000001</v>
      </c>
      <c r="I191" t="s">
        <v>438</v>
      </c>
    </row>
    <row r="192" spans="2:10" x14ac:dyDescent="0.3">
      <c r="B192" s="23" t="s">
        <v>392</v>
      </c>
      <c r="C192" s="9" t="s">
        <v>1327</v>
      </c>
      <c r="D192" s="4">
        <v>61.3</v>
      </c>
      <c r="E192" t="s">
        <v>436</v>
      </c>
      <c r="F192" s="4">
        <v>0.3547226666666668</v>
      </c>
      <c r="I192" t="s">
        <v>443</v>
      </c>
    </row>
    <row r="193" spans="2:9" x14ac:dyDescent="0.3">
      <c r="B193" s="23" t="s">
        <v>392</v>
      </c>
      <c r="C193" s="9" t="s">
        <v>192</v>
      </c>
      <c r="D193" s="4" t="s">
        <v>444</v>
      </c>
      <c r="E193" s="4" t="s">
        <v>436</v>
      </c>
      <c r="F193" s="4">
        <v>0.13507540355555553</v>
      </c>
      <c r="G193" s="1">
        <f t="shared" ref="G193:G199" si="4">F193</f>
        <v>0.13507540355555553</v>
      </c>
      <c r="H193">
        <v>0</v>
      </c>
      <c r="I193" s="13" t="s">
        <v>445</v>
      </c>
    </row>
    <row r="194" spans="2:9" x14ac:dyDescent="0.3">
      <c r="B194" s="23" t="s">
        <v>392</v>
      </c>
      <c r="C194" s="17" t="s">
        <v>204</v>
      </c>
      <c r="D194" s="4">
        <v>0.13871341637426904</v>
      </c>
      <c r="E194" s="4" t="s">
        <v>446</v>
      </c>
      <c r="F194" s="4">
        <v>6.9356708187134519E-2</v>
      </c>
      <c r="G194" s="1">
        <f t="shared" si="4"/>
        <v>6.9356708187134519E-2</v>
      </c>
      <c r="I194" s="13" t="s">
        <v>66</v>
      </c>
    </row>
    <row r="195" spans="2:9" x14ac:dyDescent="0.3">
      <c r="B195" s="23" t="s">
        <v>392</v>
      </c>
      <c r="C195" s="17" t="s">
        <v>217</v>
      </c>
      <c r="D195" s="4">
        <v>9.7607176456140393E-2</v>
      </c>
      <c r="E195" t="s">
        <v>446</v>
      </c>
      <c r="F195" s="4">
        <v>4.8803588228070197E-2</v>
      </c>
      <c r="G195" s="1">
        <f t="shared" si="4"/>
        <v>4.8803588228070197E-2</v>
      </c>
      <c r="I195" s="13" t="s">
        <v>66</v>
      </c>
    </row>
    <row r="196" spans="2:9" ht="12" customHeight="1" x14ac:dyDescent="0.3">
      <c r="B196" s="23" t="s">
        <v>392</v>
      </c>
      <c r="C196" s="17" t="s">
        <v>230</v>
      </c>
      <c r="D196" s="4" t="s">
        <v>447</v>
      </c>
      <c r="E196" t="s">
        <v>448</v>
      </c>
      <c r="F196" s="4">
        <v>4.1922500000000001E-2</v>
      </c>
      <c r="G196" s="1">
        <f t="shared" si="4"/>
        <v>4.1922500000000001E-2</v>
      </c>
      <c r="I196" t="s">
        <v>449</v>
      </c>
    </row>
    <row r="197" spans="2:9" x14ac:dyDescent="0.3">
      <c r="B197" s="23" t="s">
        <v>392</v>
      </c>
      <c r="C197" s="17" t="s">
        <v>241</v>
      </c>
      <c r="D197" s="4">
        <v>6.1533684210526331E-2</v>
      </c>
      <c r="E197" t="s">
        <v>446</v>
      </c>
      <c r="F197" s="4">
        <v>3.0766842105263165E-2</v>
      </c>
      <c r="G197" s="1">
        <f t="shared" si="4"/>
        <v>3.0766842105263165E-2</v>
      </c>
      <c r="I197" s="13" t="s">
        <v>66</v>
      </c>
    </row>
    <row r="198" spans="2:9" x14ac:dyDescent="0.3">
      <c r="B198" s="23" t="s">
        <v>392</v>
      </c>
      <c r="C198" s="17" t="s">
        <v>256</v>
      </c>
      <c r="D198" s="4">
        <v>0.11030329824561405</v>
      </c>
      <c r="E198" t="s">
        <v>446</v>
      </c>
      <c r="F198" s="4">
        <v>5.5151649122807025E-2</v>
      </c>
      <c r="G198" s="1">
        <f t="shared" si="4"/>
        <v>5.5151649122807025E-2</v>
      </c>
      <c r="I198" s="13" t="s">
        <v>66</v>
      </c>
    </row>
    <row r="199" spans="2:9" x14ac:dyDescent="0.3">
      <c r="B199" s="23" t="s">
        <v>392</v>
      </c>
      <c r="C199" s="17" t="s">
        <v>264</v>
      </c>
      <c r="D199" s="4">
        <v>0.11459368421052635</v>
      </c>
      <c r="E199" t="s">
        <v>446</v>
      </c>
      <c r="F199" s="4">
        <v>5.7296842105263174E-2</v>
      </c>
      <c r="G199" s="1">
        <f t="shared" si="4"/>
        <v>5.7296842105263174E-2</v>
      </c>
      <c r="I199" s="13" t="s">
        <v>66</v>
      </c>
    </row>
    <row r="200" spans="2:9" x14ac:dyDescent="0.3">
      <c r="B200" s="23" t="s">
        <v>392</v>
      </c>
      <c r="C200" s="17" t="s">
        <v>277</v>
      </c>
      <c r="D200" s="4">
        <v>42</v>
      </c>
      <c r="E200" t="s">
        <v>450</v>
      </c>
      <c r="F200" s="4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451</v>
      </c>
    </row>
    <row r="201" spans="2:9" x14ac:dyDescent="0.3">
      <c r="B201" s="23" t="s">
        <v>392</v>
      </c>
      <c r="C201" s="17" t="s">
        <v>1327</v>
      </c>
      <c r="D201" s="4" t="s">
        <v>452</v>
      </c>
      <c r="E201" t="s">
        <v>453</v>
      </c>
      <c r="F201" s="4">
        <v>8.4426821111111147E-2</v>
      </c>
      <c r="I201" t="s">
        <v>454</v>
      </c>
    </row>
    <row r="202" spans="2:9" x14ac:dyDescent="0.3">
      <c r="B202" s="23" t="s">
        <v>392</v>
      </c>
      <c r="C202" s="17" t="s">
        <v>290</v>
      </c>
      <c r="D202" s="4">
        <v>8.2121152711111117E-2</v>
      </c>
      <c r="E202" t="s">
        <v>446</v>
      </c>
      <c r="F202" s="4">
        <v>4.1060576355555559E-2</v>
      </c>
      <c r="G202" s="1">
        <f t="shared" ref="G202:G239" si="5">F202</f>
        <v>4.1060576355555559E-2</v>
      </c>
      <c r="I202" s="13" t="s">
        <v>66</v>
      </c>
    </row>
    <row r="203" spans="2:9" ht="12" customHeight="1" x14ac:dyDescent="0.3">
      <c r="B203" s="23" t="s">
        <v>392</v>
      </c>
      <c r="C203" s="17" t="s">
        <v>296</v>
      </c>
      <c r="D203" s="4">
        <v>0.14960216183438599</v>
      </c>
      <c r="E203" t="s">
        <v>446</v>
      </c>
      <c r="F203" s="4">
        <v>7.4801080917192994E-2</v>
      </c>
      <c r="G203" s="1">
        <f t="shared" si="5"/>
        <v>7.4801080917192994E-2</v>
      </c>
      <c r="I203" s="13" t="s">
        <v>66</v>
      </c>
    </row>
    <row r="204" spans="2:9" x14ac:dyDescent="0.3">
      <c r="B204" s="23" t="s">
        <v>392</v>
      </c>
      <c r="C204" s="17" t="s">
        <v>310</v>
      </c>
      <c r="D204" s="4">
        <v>0.14211296369277779</v>
      </c>
      <c r="E204" t="s">
        <v>446</v>
      </c>
      <c r="F204" s="4">
        <v>7.1056481846388894E-2</v>
      </c>
      <c r="G204" s="1">
        <f t="shared" si="5"/>
        <v>7.1056481846388894E-2</v>
      </c>
      <c r="I204" s="13" t="s">
        <v>66</v>
      </c>
    </row>
    <row r="205" spans="2:9" x14ac:dyDescent="0.3">
      <c r="B205" s="23" t="s">
        <v>392</v>
      </c>
      <c r="C205" s="17" t="s">
        <v>311</v>
      </c>
      <c r="D205" s="4">
        <v>0.50183860058479535</v>
      </c>
      <c r="E205" t="s">
        <v>446</v>
      </c>
      <c r="F205" s="4">
        <v>0.25091930029239767</v>
      </c>
      <c r="G205" s="4">
        <f>F205</f>
        <v>0.25091930029239767</v>
      </c>
      <c r="I205" s="13"/>
    </row>
    <row r="206" spans="2:9" x14ac:dyDescent="0.3">
      <c r="B206" s="23" t="s">
        <v>392</v>
      </c>
      <c r="C206" s="17" t="s">
        <v>324</v>
      </c>
      <c r="D206" s="4">
        <v>0.20847094210526318</v>
      </c>
      <c r="E206" t="s">
        <v>446</v>
      </c>
      <c r="F206" s="4">
        <v>0.10423547105263159</v>
      </c>
      <c r="G206" s="4">
        <f>F206</f>
        <v>0.10423547105263159</v>
      </c>
      <c r="I206" s="13"/>
    </row>
    <row r="207" spans="2:9" x14ac:dyDescent="0.3">
      <c r="B207" s="23" t="s">
        <v>392</v>
      </c>
      <c r="C207" s="7" t="s">
        <v>333</v>
      </c>
      <c r="E207" t="s">
        <v>446</v>
      </c>
      <c r="F207" s="4">
        <v>1.8900000000000004E-2</v>
      </c>
      <c r="G207" s="1">
        <f t="shared" si="5"/>
        <v>1.8900000000000004E-2</v>
      </c>
      <c r="I207" s="13" t="s">
        <v>66</v>
      </c>
    </row>
    <row r="208" spans="2:9" ht="12" customHeight="1" x14ac:dyDescent="0.3">
      <c r="B208" s="23" t="s">
        <v>392</v>
      </c>
      <c r="C208" t="s">
        <v>340</v>
      </c>
      <c r="E208" t="s">
        <v>446</v>
      </c>
      <c r="F208" s="4">
        <v>5.4206561111111121E-2</v>
      </c>
      <c r="G208" s="1">
        <f t="shared" si="5"/>
        <v>5.4206561111111121E-2</v>
      </c>
      <c r="I208" s="13" t="s">
        <v>66</v>
      </c>
    </row>
    <row r="209" spans="2:9" x14ac:dyDescent="0.3">
      <c r="B209" s="25" t="s">
        <v>455</v>
      </c>
      <c r="C209" s="9" t="s">
        <v>10</v>
      </c>
      <c r="D209" s="4">
        <v>105</v>
      </c>
      <c r="E209" t="s">
        <v>456</v>
      </c>
      <c r="F209" s="4">
        <v>5.2499999999999998E-2</v>
      </c>
      <c r="G209" s="1">
        <f>F209</f>
        <v>5.2499999999999998E-2</v>
      </c>
      <c r="H209">
        <v>0</v>
      </c>
      <c r="I209" t="s">
        <v>457</v>
      </c>
    </row>
    <row r="210" spans="2:9" ht="12" customHeight="1" x14ac:dyDescent="0.3">
      <c r="B210" s="25" t="s">
        <v>455</v>
      </c>
      <c r="C210" t="s">
        <v>24</v>
      </c>
      <c r="D210">
        <v>0.14474083333333332</v>
      </c>
      <c r="E210" t="s">
        <v>446</v>
      </c>
      <c r="F210">
        <v>7.2370416666666659E-2</v>
      </c>
      <c r="G210" s="1">
        <f>F210</f>
        <v>7.2370416666666659E-2</v>
      </c>
      <c r="I210" s="13" t="s">
        <v>66</v>
      </c>
    </row>
    <row r="211" spans="2:9" x14ac:dyDescent="0.3">
      <c r="B211" s="25" t="s">
        <v>455</v>
      </c>
      <c r="C211" s="17" t="s">
        <v>29</v>
      </c>
      <c r="D211">
        <v>0.47039566666666666</v>
      </c>
      <c r="E211" t="s">
        <v>446</v>
      </c>
      <c r="F211">
        <v>0.23519783333333333</v>
      </c>
      <c r="G211" s="1">
        <f t="shared" si="5"/>
        <v>0.23519783333333333</v>
      </c>
      <c r="I211" s="13" t="s">
        <v>66</v>
      </c>
    </row>
    <row r="212" spans="2:9" x14ac:dyDescent="0.3">
      <c r="B212" s="25" t="s">
        <v>455</v>
      </c>
      <c r="C212" t="s">
        <v>33</v>
      </c>
      <c r="D212"/>
      <c r="E212" t="s">
        <v>446</v>
      </c>
      <c r="F212">
        <v>0.30681684999999992</v>
      </c>
      <c r="G212" s="1">
        <f t="shared" si="5"/>
        <v>0.30681684999999992</v>
      </c>
      <c r="I212" s="13" t="s">
        <v>66</v>
      </c>
    </row>
    <row r="213" spans="2:9" x14ac:dyDescent="0.3">
      <c r="B213" s="25" t="s">
        <v>455</v>
      </c>
      <c r="C213" t="s">
        <v>47</v>
      </c>
      <c r="D213"/>
      <c r="E213" t="s">
        <v>446</v>
      </c>
      <c r="F213">
        <v>0.15101213333333335</v>
      </c>
      <c r="G213" s="1">
        <f t="shared" si="5"/>
        <v>0.15101213333333335</v>
      </c>
      <c r="I213" s="13" t="s">
        <v>66</v>
      </c>
    </row>
    <row r="214" spans="2:9" x14ac:dyDescent="0.3">
      <c r="B214" s="25" t="s">
        <v>455</v>
      </c>
      <c r="C214" t="s">
        <v>64</v>
      </c>
      <c r="D214"/>
      <c r="E214" t="s">
        <v>446</v>
      </c>
      <c r="F214">
        <v>0.181203</v>
      </c>
      <c r="G214" s="1">
        <f t="shared" si="5"/>
        <v>0.181203</v>
      </c>
      <c r="I214" t="s">
        <v>66</v>
      </c>
    </row>
    <row r="215" spans="2:9" x14ac:dyDescent="0.3">
      <c r="B215" s="25" t="s">
        <v>455</v>
      </c>
      <c r="C215" t="s">
        <v>67</v>
      </c>
      <c r="D215">
        <v>0.13863482105263158</v>
      </c>
      <c r="E215" t="s">
        <v>446</v>
      </c>
      <c r="F215">
        <v>6.9317410526315792E-2</v>
      </c>
      <c r="G215" s="1">
        <f t="shared" si="5"/>
        <v>6.9317410526315792E-2</v>
      </c>
      <c r="I215" s="13" t="s">
        <v>66</v>
      </c>
    </row>
    <row r="216" spans="2:9" x14ac:dyDescent="0.3">
      <c r="B216" s="25" t="s">
        <v>455</v>
      </c>
      <c r="C216" t="s">
        <v>79</v>
      </c>
      <c r="D216">
        <v>2.7483899999999999E-2</v>
      </c>
      <c r="E216" t="s">
        <v>446</v>
      </c>
      <c r="F216">
        <v>1.3741949999999999E-2</v>
      </c>
      <c r="G216" s="1">
        <f t="shared" si="5"/>
        <v>1.3741949999999999E-2</v>
      </c>
      <c r="I216" s="13" t="s">
        <v>66</v>
      </c>
    </row>
    <row r="217" spans="2:9" x14ac:dyDescent="0.3">
      <c r="B217" s="25" t="s">
        <v>455</v>
      </c>
      <c r="C217" t="s">
        <v>83</v>
      </c>
      <c r="D217">
        <v>6.8232899999999999E-2</v>
      </c>
      <c r="E217" t="s">
        <v>446</v>
      </c>
      <c r="F217">
        <v>3.411645E-2</v>
      </c>
      <c r="G217" s="1">
        <f t="shared" si="5"/>
        <v>3.411645E-2</v>
      </c>
      <c r="I217" s="13" t="s">
        <v>66</v>
      </c>
    </row>
    <row r="218" spans="2:9" x14ac:dyDescent="0.3">
      <c r="B218" s="25" t="s">
        <v>455</v>
      </c>
      <c r="C218" t="s">
        <v>87</v>
      </c>
      <c r="D218">
        <v>0.25064969999999998</v>
      </c>
      <c r="E218" t="s">
        <v>446</v>
      </c>
      <c r="F218">
        <v>0.12532484999999999</v>
      </c>
      <c r="G218" s="1">
        <f t="shared" si="5"/>
        <v>0.12532484999999999</v>
      </c>
      <c r="I218" s="13" t="s">
        <v>66</v>
      </c>
    </row>
    <row r="219" spans="2:9" x14ac:dyDescent="0.3">
      <c r="B219" s="25" t="s">
        <v>455</v>
      </c>
      <c r="C219" t="s">
        <v>101</v>
      </c>
      <c r="D219">
        <v>0.61418280000000003</v>
      </c>
      <c r="E219" t="s">
        <v>446</v>
      </c>
      <c r="F219">
        <v>0.30709140000000001</v>
      </c>
      <c r="G219" s="1">
        <f t="shared" si="5"/>
        <v>0.30709140000000001</v>
      </c>
      <c r="I219" s="13" t="s">
        <v>66</v>
      </c>
    </row>
    <row r="220" spans="2:9" x14ac:dyDescent="0.3">
      <c r="B220" s="25" t="s">
        <v>455</v>
      </c>
      <c r="C220" t="s">
        <v>115</v>
      </c>
      <c r="D220">
        <v>0.48248550000000001</v>
      </c>
      <c r="E220" t="s">
        <v>446</v>
      </c>
      <c r="F220">
        <v>0.24124275000000001</v>
      </c>
      <c r="G220" s="1">
        <f t="shared" si="5"/>
        <v>0.24124275000000001</v>
      </c>
      <c r="I220" s="13" t="s">
        <v>66</v>
      </c>
    </row>
    <row r="221" spans="2:9" x14ac:dyDescent="0.3">
      <c r="B221" s="25" t="s">
        <v>455</v>
      </c>
      <c r="C221" t="s">
        <v>129</v>
      </c>
      <c r="D221"/>
      <c r="E221" t="s">
        <v>446</v>
      </c>
      <c r="F221">
        <v>7.6107963366842113E-2</v>
      </c>
      <c r="G221" s="1">
        <f t="shared" si="5"/>
        <v>7.6107963366842113E-2</v>
      </c>
      <c r="I221" s="13" t="s">
        <v>66</v>
      </c>
    </row>
    <row r="222" spans="2:9" x14ac:dyDescent="0.3">
      <c r="B222" s="25" t="s">
        <v>455</v>
      </c>
      <c r="C222" t="s">
        <v>148</v>
      </c>
      <c r="D222"/>
      <c r="E222" t="s">
        <v>446</v>
      </c>
      <c r="F222">
        <v>0.19137532127910523</v>
      </c>
      <c r="G222" s="1">
        <f t="shared" si="5"/>
        <v>0.19137532127910523</v>
      </c>
      <c r="I222" s="13" t="s">
        <v>66</v>
      </c>
    </row>
    <row r="223" spans="2:9" x14ac:dyDescent="0.3">
      <c r="B223" s="25" t="s">
        <v>455</v>
      </c>
      <c r="C223" t="s">
        <v>164</v>
      </c>
      <c r="D223"/>
      <c r="E223" t="s">
        <v>446</v>
      </c>
      <c r="F223">
        <v>0.12989792515789472</v>
      </c>
      <c r="G223" s="1">
        <f t="shared" si="5"/>
        <v>0.12989792515789472</v>
      </c>
      <c r="I223" s="13" t="s">
        <v>66</v>
      </c>
    </row>
    <row r="224" spans="2:9" x14ac:dyDescent="0.3">
      <c r="B224" s="25" t="s">
        <v>455</v>
      </c>
      <c r="C224" s="9" t="s">
        <v>181</v>
      </c>
      <c r="D224" s="4">
        <v>0.71672000000000002</v>
      </c>
      <c r="E224" t="s">
        <v>446</v>
      </c>
      <c r="F224" s="4">
        <v>0.35836000000000001</v>
      </c>
      <c r="G224" s="1">
        <f t="shared" si="5"/>
        <v>0.35836000000000001</v>
      </c>
      <c r="I224" s="13" t="s">
        <v>66</v>
      </c>
    </row>
    <row r="225" spans="1:28" x14ac:dyDescent="0.3">
      <c r="B225" s="25" t="s">
        <v>455</v>
      </c>
      <c r="C225" s="9" t="s">
        <v>192</v>
      </c>
      <c r="D225" s="4">
        <v>0.30418279190303027</v>
      </c>
      <c r="E225" t="s">
        <v>446</v>
      </c>
      <c r="F225" s="4">
        <v>0.15209139595151513</v>
      </c>
      <c r="G225" s="1">
        <f t="shared" si="5"/>
        <v>0.15209139595151513</v>
      </c>
      <c r="I225" s="13" t="s">
        <v>66</v>
      </c>
    </row>
    <row r="226" spans="1:28" x14ac:dyDescent="0.3">
      <c r="B226" s="25" t="s">
        <v>455</v>
      </c>
      <c r="C226" s="17" t="s">
        <v>204</v>
      </c>
      <c r="D226" s="4">
        <v>0.17180647428070175</v>
      </c>
      <c r="E226" t="s">
        <v>446</v>
      </c>
      <c r="F226" s="4">
        <v>8.5903237140350877E-2</v>
      </c>
      <c r="G226" s="1">
        <f t="shared" si="5"/>
        <v>8.5903237140350877E-2</v>
      </c>
      <c r="I226" s="13" t="s">
        <v>66</v>
      </c>
    </row>
    <row r="227" spans="1:28" x14ac:dyDescent="0.3">
      <c r="B227" s="25" t="s">
        <v>455</v>
      </c>
      <c r="C227" s="17" t="s">
        <v>217</v>
      </c>
      <c r="D227" s="4">
        <v>0.12089345998210527</v>
      </c>
      <c r="E227" t="s">
        <v>446</v>
      </c>
      <c r="F227" s="4">
        <v>6.0446729991052633E-2</v>
      </c>
      <c r="G227" s="1">
        <f t="shared" si="5"/>
        <v>6.0446729991052633E-2</v>
      </c>
      <c r="I227" s="13" t="s">
        <v>66</v>
      </c>
    </row>
    <row r="228" spans="1:28" ht="12" customHeight="1" x14ac:dyDescent="0.3">
      <c r="B228" s="25" t="s">
        <v>455</v>
      </c>
      <c r="C228" s="17" t="s">
        <v>230</v>
      </c>
      <c r="D228" s="4">
        <v>0.49540380000000001</v>
      </c>
      <c r="E228" t="s">
        <v>446</v>
      </c>
      <c r="F228" s="4">
        <v>0.2477019</v>
      </c>
      <c r="G228" s="1">
        <f t="shared" si="5"/>
        <v>0.2477019</v>
      </c>
      <c r="I228" s="13" t="s">
        <v>66</v>
      </c>
      <c r="J228" s="18"/>
    </row>
    <row r="229" spans="1:28" ht="12" customHeight="1" x14ac:dyDescent="0.3">
      <c r="B229" s="25" t="s">
        <v>455</v>
      </c>
      <c r="C229" s="17" t="s">
        <v>241</v>
      </c>
      <c r="D229" s="4">
        <v>7.6213863157894746E-2</v>
      </c>
      <c r="E229" t="s">
        <v>446</v>
      </c>
      <c r="F229" s="4">
        <v>3.8106931578947373E-2</v>
      </c>
      <c r="G229" s="1">
        <f t="shared" si="5"/>
        <v>3.8106931578947373E-2</v>
      </c>
      <c r="I229" s="13" t="s">
        <v>66</v>
      </c>
    </row>
    <row r="230" spans="1:28" x14ac:dyDescent="0.3">
      <c r="B230" s="25" t="s">
        <v>455</v>
      </c>
      <c r="C230" s="17" t="s">
        <v>256</v>
      </c>
      <c r="D230" s="4">
        <v>0.13661851368421052</v>
      </c>
      <c r="E230" t="s">
        <v>446</v>
      </c>
      <c r="F230" s="4">
        <v>6.8309256842105259E-2</v>
      </c>
      <c r="G230" s="1">
        <f t="shared" si="5"/>
        <v>6.8309256842105259E-2</v>
      </c>
      <c r="I230" s="13" t="s">
        <v>66</v>
      </c>
    </row>
    <row r="231" spans="1:28" x14ac:dyDescent="0.3">
      <c r="B231" s="25" t="s">
        <v>455</v>
      </c>
      <c r="C231" s="17" t="s">
        <v>264</v>
      </c>
      <c r="D231" s="4">
        <v>0.14193246315789476</v>
      </c>
      <c r="E231" t="s">
        <v>446</v>
      </c>
      <c r="F231" s="4">
        <v>7.0966231578947381E-2</v>
      </c>
      <c r="G231" s="1">
        <f t="shared" si="5"/>
        <v>7.0966231578947381E-2</v>
      </c>
      <c r="I231" s="13" t="s">
        <v>66</v>
      </c>
    </row>
    <row r="232" spans="1:28" x14ac:dyDescent="0.3">
      <c r="B232" s="25" t="s">
        <v>455</v>
      </c>
      <c r="C232" s="17" t="s">
        <v>277</v>
      </c>
      <c r="D232" s="4">
        <v>0.22107536666666666</v>
      </c>
      <c r="E232" t="s">
        <v>446</v>
      </c>
      <c r="F232" s="4">
        <v>0.11053768333333333</v>
      </c>
      <c r="G232" s="1">
        <f t="shared" si="5"/>
        <v>0.11053768333333333</v>
      </c>
      <c r="I232" s="13" t="s">
        <v>66</v>
      </c>
    </row>
    <row r="233" spans="1:28" x14ac:dyDescent="0.3">
      <c r="B233" s="25" t="s">
        <v>455</v>
      </c>
      <c r="C233" s="17" t="s">
        <v>290</v>
      </c>
      <c r="D233" s="4">
        <v>0.10171291342933333</v>
      </c>
      <c r="E233" t="s">
        <v>446</v>
      </c>
      <c r="F233" s="4">
        <v>5.0856456714666667E-2</v>
      </c>
      <c r="G233" s="1">
        <f t="shared" si="5"/>
        <v>5.0856456714666667E-2</v>
      </c>
      <c r="I233" s="13" t="s">
        <v>66</v>
      </c>
    </row>
    <row r="234" spans="1:28" x14ac:dyDescent="0.3">
      <c r="B234" s="25" t="s">
        <v>455</v>
      </c>
      <c r="C234" s="17" t="s">
        <v>296</v>
      </c>
      <c r="D234" s="4">
        <v>0.18529296330058947</v>
      </c>
      <c r="E234" t="s">
        <v>446</v>
      </c>
      <c r="F234" s="4">
        <v>9.2646481650294737E-2</v>
      </c>
      <c r="G234" s="1">
        <f t="shared" si="5"/>
        <v>9.2646481650294737E-2</v>
      </c>
      <c r="I234" s="13" t="s">
        <v>66</v>
      </c>
    </row>
    <row r="235" spans="1:28" x14ac:dyDescent="0.3">
      <c r="B235" s="25" t="s">
        <v>455</v>
      </c>
      <c r="C235" s="17" t="s">
        <v>310</v>
      </c>
      <c r="D235" s="4">
        <v>0.17601705645948332</v>
      </c>
      <c r="E235" t="s">
        <v>446</v>
      </c>
      <c r="F235" s="4">
        <v>8.8008528229741659E-2</v>
      </c>
      <c r="G235" s="1">
        <f t="shared" si="5"/>
        <v>8.8008528229741659E-2</v>
      </c>
      <c r="I235" s="13" t="s">
        <v>66</v>
      </c>
    </row>
    <row r="236" spans="1:28" x14ac:dyDescent="0.3">
      <c r="B236" s="25" t="s">
        <v>455</v>
      </c>
      <c r="C236" s="17" t="s">
        <v>311</v>
      </c>
      <c r="D236" s="4">
        <v>0.62156295243859649</v>
      </c>
      <c r="E236" t="s">
        <v>446</v>
      </c>
      <c r="F236" s="4">
        <v>0.31078147621929825</v>
      </c>
      <c r="G236" s="1">
        <f t="shared" si="5"/>
        <v>0.31078147621929825</v>
      </c>
      <c r="I236" s="13" t="s">
        <v>66</v>
      </c>
    </row>
    <row r="237" spans="1:28" x14ac:dyDescent="0.3">
      <c r="B237" s="25" t="s">
        <v>455</v>
      </c>
      <c r="C237" s="17" t="s">
        <v>324</v>
      </c>
      <c r="D237" s="4">
        <v>0.25820615257894736</v>
      </c>
      <c r="E237" t="s">
        <v>446</v>
      </c>
      <c r="F237" s="4">
        <v>0.12910307628947368</v>
      </c>
      <c r="G237" s="1">
        <f t="shared" si="5"/>
        <v>0.12910307628947368</v>
      </c>
      <c r="I237" s="13" t="s">
        <v>66</v>
      </c>
    </row>
    <row r="238" spans="1:28" x14ac:dyDescent="0.3">
      <c r="A238" s="14"/>
      <c r="B238" s="25" t="s">
        <v>455</v>
      </c>
      <c r="C238" t="s">
        <v>333</v>
      </c>
      <c r="D238"/>
      <c r="E238" t="s">
        <v>446</v>
      </c>
      <c r="F238" s="4">
        <v>2.3409000000000003E-2</v>
      </c>
      <c r="G238" s="1">
        <f t="shared" si="5"/>
        <v>2.3409000000000003E-2</v>
      </c>
      <c r="I238" s="13" t="s">
        <v>66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x14ac:dyDescent="0.3">
      <c r="A239" s="14"/>
      <c r="B239" s="25" t="s">
        <v>455</v>
      </c>
      <c r="C239" t="s">
        <v>340</v>
      </c>
      <c r="D239"/>
      <c r="E239" t="s">
        <v>446</v>
      </c>
      <c r="F239" s="4">
        <v>6.713869783333333E-2</v>
      </c>
      <c r="G239" s="1">
        <f t="shared" si="5"/>
        <v>6.713869783333333E-2</v>
      </c>
      <c r="I239" s="13" t="s">
        <v>66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x14ac:dyDescent="0.3">
      <c r="B240" s="26" t="s">
        <v>458</v>
      </c>
      <c r="C240" t="s">
        <v>10</v>
      </c>
      <c r="D240">
        <v>4.0850999999999998E-2</v>
      </c>
      <c r="E240" t="s">
        <v>446</v>
      </c>
      <c r="F240" s="4">
        <v>2.0425499999999999E-2</v>
      </c>
      <c r="G240" s="1">
        <f>F240</f>
        <v>2.0425499999999999E-2</v>
      </c>
      <c r="I240" s="13" t="s">
        <v>66</v>
      </c>
    </row>
    <row r="241" spans="2:9" x14ac:dyDescent="0.3">
      <c r="B241" s="26" t="s">
        <v>458</v>
      </c>
      <c r="C241" t="s">
        <v>24</v>
      </c>
      <c r="D241">
        <v>2.8380555555555555E-2</v>
      </c>
      <c r="E241" t="s">
        <v>446</v>
      </c>
      <c r="F241" s="4">
        <v>1.4190277777777777E-2</v>
      </c>
      <c r="G241" s="1">
        <f>F241</f>
        <v>1.4190277777777777E-2</v>
      </c>
      <c r="I241" s="13" t="s">
        <v>66</v>
      </c>
    </row>
    <row r="242" spans="2:9" x14ac:dyDescent="0.3">
      <c r="B242" s="26" t="s">
        <v>458</v>
      </c>
      <c r="C242" t="s">
        <v>29</v>
      </c>
      <c r="D242">
        <v>9.2234444444444452E-2</v>
      </c>
      <c r="E242" t="s">
        <v>446</v>
      </c>
      <c r="F242" s="4">
        <v>4.6117222222222226E-2</v>
      </c>
      <c r="G242" s="1">
        <f t="shared" ref="G242:G270" si="6">F242</f>
        <v>4.6117222222222226E-2</v>
      </c>
      <c r="I242" s="13" t="s">
        <v>66</v>
      </c>
    </row>
    <row r="243" spans="2:9" x14ac:dyDescent="0.3">
      <c r="B243" s="26" t="s">
        <v>458</v>
      </c>
      <c r="C243" t="s">
        <v>33</v>
      </c>
      <c r="D243"/>
      <c r="E243" t="s">
        <v>446</v>
      </c>
      <c r="F243" s="4">
        <v>6.016016666666666E-2</v>
      </c>
      <c r="G243" s="1">
        <f t="shared" si="6"/>
        <v>6.016016666666666E-2</v>
      </c>
      <c r="I243" s="13" t="s">
        <v>66</v>
      </c>
    </row>
    <row r="244" spans="2:9" x14ac:dyDescent="0.3">
      <c r="B244" s="26" t="s">
        <v>458</v>
      </c>
      <c r="C244" t="s">
        <v>47</v>
      </c>
      <c r="D244"/>
      <c r="E244" t="s">
        <v>446</v>
      </c>
      <c r="F244" s="4">
        <v>2.9610222222222225E-2</v>
      </c>
      <c r="G244" s="1">
        <f t="shared" si="6"/>
        <v>2.9610222222222225E-2</v>
      </c>
      <c r="I244" s="13" t="s">
        <v>66</v>
      </c>
    </row>
    <row r="245" spans="2:9" x14ac:dyDescent="0.3">
      <c r="B245" s="26" t="s">
        <v>458</v>
      </c>
      <c r="C245" t="s">
        <v>64</v>
      </c>
      <c r="D245"/>
      <c r="E245" t="s">
        <v>446</v>
      </c>
      <c r="F245">
        <v>3.5529999999999999E-2</v>
      </c>
      <c r="G245" s="1">
        <f t="shared" si="6"/>
        <v>3.5529999999999999E-2</v>
      </c>
      <c r="I245" t="s">
        <v>66</v>
      </c>
    </row>
    <row r="246" spans="2:9" x14ac:dyDescent="0.3">
      <c r="B246" s="26" t="s">
        <v>458</v>
      </c>
      <c r="C246" t="s">
        <v>67</v>
      </c>
      <c r="D246">
        <v>2.6539982456140358E-2</v>
      </c>
      <c r="E246" t="s">
        <v>446</v>
      </c>
      <c r="F246">
        <v>1.3269991228070179E-2</v>
      </c>
      <c r="G246" s="1">
        <f t="shared" si="6"/>
        <v>1.3269991228070179E-2</v>
      </c>
      <c r="I246" t="s">
        <v>66</v>
      </c>
    </row>
    <row r="247" spans="2:9" x14ac:dyDescent="0.3">
      <c r="B247" s="26" t="s">
        <v>458</v>
      </c>
      <c r="C247" t="s">
        <v>79</v>
      </c>
      <c r="D247">
        <v>2.4819999999999998E-3</v>
      </c>
      <c r="E247" t="s">
        <v>446</v>
      </c>
      <c r="F247" s="4">
        <v>1.2409999999999999E-3</v>
      </c>
      <c r="G247" s="1">
        <f t="shared" si="6"/>
        <v>1.2409999999999999E-3</v>
      </c>
      <c r="I247" s="13" t="s">
        <v>66</v>
      </c>
    </row>
    <row r="248" spans="2:9" x14ac:dyDescent="0.3">
      <c r="B248" s="26" t="s">
        <v>458</v>
      </c>
      <c r="C248" t="s">
        <v>83</v>
      </c>
      <c r="D248">
        <v>1.0557E-2</v>
      </c>
      <c r="E248" t="s">
        <v>446</v>
      </c>
      <c r="F248" s="4">
        <v>5.2785000000000002E-3</v>
      </c>
      <c r="G248" s="1">
        <f t="shared" si="6"/>
        <v>5.2785000000000002E-3</v>
      </c>
      <c r="I248" s="13" t="s">
        <v>66</v>
      </c>
    </row>
    <row r="249" spans="2:9" x14ac:dyDescent="0.3">
      <c r="B249" s="26" t="s">
        <v>458</v>
      </c>
      <c r="C249" t="s">
        <v>87</v>
      </c>
      <c r="D249">
        <v>3.6804999999999997E-2</v>
      </c>
      <c r="E249" t="s">
        <v>446</v>
      </c>
      <c r="F249" s="4">
        <v>1.8402499999999999E-2</v>
      </c>
      <c r="G249" s="1">
        <f t="shared" si="6"/>
        <v>1.8402499999999999E-2</v>
      </c>
      <c r="I249" s="13" t="s">
        <v>66</v>
      </c>
    </row>
    <row r="250" spans="2:9" x14ac:dyDescent="0.3">
      <c r="B250" s="26" t="s">
        <v>458</v>
      </c>
      <c r="C250" t="s">
        <v>101</v>
      </c>
      <c r="D250">
        <v>0.12042799999999999</v>
      </c>
      <c r="E250" t="s">
        <v>446</v>
      </c>
      <c r="F250" s="4">
        <v>6.0213999999999997E-2</v>
      </c>
      <c r="G250" s="1">
        <f t="shared" si="6"/>
        <v>6.0213999999999997E-2</v>
      </c>
      <c r="I250" s="13" t="s">
        <v>66</v>
      </c>
    </row>
    <row r="251" spans="2:9" x14ac:dyDescent="0.3">
      <c r="B251" s="26" t="s">
        <v>458</v>
      </c>
      <c r="C251" t="s">
        <v>115</v>
      </c>
      <c r="D251">
        <v>4.6529000000000001E-2</v>
      </c>
      <c r="E251" t="s">
        <v>446</v>
      </c>
      <c r="F251" s="4">
        <v>2.32645E-2</v>
      </c>
      <c r="G251" s="1">
        <f t="shared" si="6"/>
        <v>2.32645E-2</v>
      </c>
      <c r="I251" s="13" t="s">
        <v>66</v>
      </c>
    </row>
    <row r="252" spans="2:9" x14ac:dyDescent="0.3">
      <c r="B252" s="26" t="s">
        <v>458</v>
      </c>
      <c r="C252" t="s">
        <v>129</v>
      </c>
      <c r="D252"/>
      <c r="E252" t="s">
        <v>446</v>
      </c>
      <c r="F252" s="4">
        <v>7.9188840192982481E-3</v>
      </c>
      <c r="G252" s="1">
        <f t="shared" si="6"/>
        <v>7.9188840192982481E-3</v>
      </c>
      <c r="I252" s="13" t="s">
        <v>66</v>
      </c>
    </row>
    <row r="253" spans="2:9" x14ac:dyDescent="0.3">
      <c r="B253" s="26" t="s">
        <v>458</v>
      </c>
      <c r="C253" t="s">
        <v>148</v>
      </c>
      <c r="D253"/>
      <c r="E253" t="s">
        <v>446</v>
      </c>
      <c r="F253" s="4">
        <v>2.9495240168245614E-2</v>
      </c>
      <c r="G253" s="1">
        <f t="shared" si="6"/>
        <v>2.9495240168245614E-2</v>
      </c>
      <c r="I253" s="13" t="s">
        <v>66</v>
      </c>
    </row>
    <row r="254" spans="2:9" x14ac:dyDescent="0.3">
      <c r="B254" s="26" t="s">
        <v>458</v>
      </c>
      <c r="C254" t="s">
        <v>164</v>
      </c>
      <c r="D254"/>
      <c r="E254" t="s">
        <v>446</v>
      </c>
      <c r="F254" s="4">
        <v>1.7998999035087719E-2</v>
      </c>
      <c r="G254" s="1">
        <f t="shared" si="6"/>
        <v>1.7998999035087719E-2</v>
      </c>
      <c r="I254" s="13" t="s">
        <v>66</v>
      </c>
    </row>
    <row r="255" spans="2:9" x14ac:dyDescent="0.3">
      <c r="B255" s="26" t="s">
        <v>458</v>
      </c>
      <c r="C255" s="9" t="s">
        <v>181</v>
      </c>
      <c r="D255" s="4">
        <v>0.14053333333333334</v>
      </c>
      <c r="E255" t="s">
        <v>446</v>
      </c>
      <c r="F255" s="4">
        <v>7.0266666666666672E-2</v>
      </c>
      <c r="G255" s="1">
        <f t="shared" si="6"/>
        <v>7.0266666666666672E-2</v>
      </c>
      <c r="I255" s="13" t="s">
        <v>66</v>
      </c>
    </row>
    <row r="256" spans="2:9" x14ac:dyDescent="0.3">
      <c r="B256" s="26" t="s">
        <v>458</v>
      </c>
      <c r="C256" s="9" t="s">
        <v>192</v>
      </c>
      <c r="D256" s="4">
        <v>5.9643684686868689E-2</v>
      </c>
      <c r="E256" t="s">
        <v>446</v>
      </c>
      <c r="F256" s="4">
        <v>2.9821842343434345E-2</v>
      </c>
      <c r="G256" s="1">
        <f t="shared" si="6"/>
        <v>2.9821842343434345E-2</v>
      </c>
      <c r="I256" s="13" t="s">
        <v>66</v>
      </c>
    </row>
    <row r="257" spans="1:28" x14ac:dyDescent="0.3">
      <c r="B257" s="26" t="s">
        <v>458</v>
      </c>
      <c r="C257" s="17" t="s">
        <v>204</v>
      </c>
      <c r="D257" s="4">
        <v>2.8207459766081869E-2</v>
      </c>
      <c r="E257" t="s">
        <v>446</v>
      </c>
      <c r="F257" s="4">
        <v>1.4103729883040934E-2</v>
      </c>
      <c r="G257" s="1">
        <f t="shared" si="6"/>
        <v>1.4103729883040934E-2</v>
      </c>
      <c r="I257" s="13" t="s">
        <v>66</v>
      </c>
    </row>
    <row r="258" spans="1:28" x14ac:dyDescent="0.3">
      <c r="B258" s="26" t="s">
        <v>458</v>
      </c>
      <c r="C258" s="17" t="s">
        <v>217</v>
      </c>
      <c r="D258" s="4">
        <v>7.5805473649122818E-3</v>
      </c>
      <c r="E258" t="s">
        <v>446</v>
      </c>
      <c r="F258" s="4">
        <v>3.7902736824561409E-3</v>
      </c>
      <c r="G258" s="1">
        <f t="shared" si="6"/>
        <v>3.7902736824561409E-3</v>
      </c>
      <c r="I258" s="13" t="s">
        <v>66</v>
      </c>
    </row>
    <row r="259" spans="1:28" ht="12" customHeight="1" x14ac:dyDescent="0.3">
      <c r="B259" s="26" t="s">
        <v>458</v>
      </c>
      <c r="C259" s="17" t="s">
        <v>230</v>
      </c>
      <c r="D259" s="4">
        <v>6.3852000000000006E-2</v>
      </c>
      <c r="E259" t="s">
        <v>446</v>
      </c>
      <c r="F259" s="4">
        <v>3.1926000000000003E-2</v>
      </c>
      <c r="G259" s="1">
        <f t="shared" si="6"/>
        <v>3.1926000000000003E-2</v>
      </c>
      <c r="I259" s="13" t="s">
        <v>66</v>
      </c>
      <c r="J259" s="18"/>
    </row>
    <row r="260" spans="1:28" ht="12" customHeight="1" x14ac:dyDescent="0.3">
      <c r="B260" s="26" t="s">
        <v>458</v>
      </c>
      <c r="C260" s="17" t="s">
        <v>241</v>
      </c>
      <c r="D260" s="4">
        <v>7.1829473684210544E-3</v>
      </c>
      <c r="E260" t="s">
        <v>446</v>
      </c>
      <c r="F260" s="4">
        <v>3.5914736842105272E-3</v>
      </c>
      <c r="G260" s="1">
        <f t="shared" si="6"/>
        <v>3.5914736842105272E-3</v>
      </c>
      <c r="I260" s="13" t="s">
        <v>66</v>
      </c>
    </row>
    <row r="261" spans="1:28" x14ac:dyDescent="0.3">
      <c r="B261" s="26" t="s">
        <v>458</v>
      </c>
      <c r="C261" s="17" t="s">
        <v>256</v>
      </c>
      <c r="D261" s="4">
        <v>1.7897838596491227E-2</v>
      </c>
      <c r="E261" t="s">
        <v>446</v>
      </c>
      <c r="F261" s="4">
        <v>8.9489192982456136E-3</v>
      </c>
      <c r="G261" s="1">
        <f t="shared" si="6"/>
        <v>8.9489192982456136E-3</v>
      </c>
      <c r="I261" s="13" t="s">
        <v>66</v>
      </c>
    </row>
    <row r="262" spans="1:28" x14ac:dyDescent="0.3">
      <c r="B262" s="26" t="s">
        <v>458</v>
      </c>
      <c r="C262" s="17" t="s">
        <v>264</v>
      </c>
      <c r="D262" s="4">
        <v>1.4560947368421054E-2</v>
      </c>
      <c r="E262" t="s">
        <v>446</v>
      </c>
      <c r="F262" s="4">
        <v>7.2804736842105268E-3</v>
      </c>
      <c r="G262" s="1">
        <f t="shared" si="6"/>
        <v>7.2804736842105268E-3</v>
      </c>
      <c r="I262" s="13" t="s">
        <v>66</v>
      </c>
    </row>
    <row r="263" spans="1:28" x14ac:dyDescent="0.3">
      <c r="B263" s="26" t="s">
        <v>458</v>
      </c>
      <c r="C263" s="17" t="s">
        <v>277</v>
      </c>
      <c r="D263" s="4">
        <v>4.3348111111111115E-2</v>
      </c>
      <c r="E263" t="s">
        <v>446</v>
      </c>
      <c r="F263" s="4">
        <v>2.1674055555555558E-2</v>
      </c>
      <c r="G263" s="1">
        <f t="shared" si="6"/>
        <v>2.1674055555555558E-2</v>
      </c>
      <c r="I263" s="13" t="s">
        <v>66</v>
      </c>
    </row>
    <row r="264" spans="1:28" x14ac:dyDescent="0.3">
      <c r="B264" s="26" t="s">
        <v>458</v>
      </c>
      <c r="C264" s="17" t="s">
        <v>290</v>
      </c>
      <c r="D264" s="4">
        <v>1.9943708515555558E-2</v>
      </c>
      <c r="E264" t="s">
        <v>446</v>
      </c>
      <c r="F264" s="4">
        <v>9.9718542577777788E-3</v>
      </c>
      <c r="G264" s="1">
        <f t="shared" si="6"/>
        <v>9.9718542577777788E-3</v>
      </c>
      <c r="I264" s="13" t="s">
        <v>66</v>
      </c>
    </row>
    <row r="265" spans="1:28" x14ac:dyDescent="0.3">
      <c r="B265" s="26" t="s">
        <v>458</v>
      </c>
      <c r="C265" s="17" t="s">
        <v>296</v>
      </c>
      <c r="D265" s="4">
        <v>3.2013058851508777E-2</v>
      </c>
      <c r="E265" t="s">
        <v>446</v>
      </c>
      <c r="F265" s="4">
        <v>1.6006529425754389E-2</v>
      </c>
      <c r="G265" s="1">
        <f t="shared" si="6"/>
        <v>1.6006529425754389E-2</v>
      </c>
      <c r="I265" s="13" t="s">
        <v>66</v>
      </c>
    </row>
    <row r="266" spans="1:28" x14ac:dyDescent="0.3">
      <c r="B266" s="26" t="s">
        <v>458</v>
      </c>
      <c r="C266" s="17" t="s">
        <v>310</v>
      </c>
      <c r="D266" s="4">
        <v>3.451314832538889E-2</v>
      </c>
      <c r="E266" t="s">
        <v>446</v>
      </c>
      <c r="F266" s="4">
        <v>1.7256574162694445E-2</v>
      </c>
      <c r="G266" s="1">
        <f t="shared" si="6"/>
        <v>1.7256574162694445E-2</v>
      </c>
      <c r="I266" s="13" t="s">
        <v>66</v>
      </c>
    </row>
    <row r="267" spans="1:28" x14ac:dyDescent="0.3">
      <c r="B267" s="26" t="s">
        <v>458</v>
      </c>
      <c r="C267" s="17" t="s">
        <v>311</v>
      </c>
      <c r="D267" s="4">
        <v>3.0736800000000005E-2</v>
      </c>
      <c r="E267" t="s">
        <v>446</v>
      </c>
      <c r="F267" s="4">
        <v>1.5368400000000003E-2</v>
      </c>
      <c r="G267" s="1">
        <f t="shared" si="6"/>
        <v>1.5368400000000003E-2</v>
      </c>
      <c r="I267" s="13" t="s">
        <v>66</v>
      </c>
    </row>
    <row r="268" spans="1:28" x14ac:dyDescent="0.3">
      <c r="B268" s="26" t="s">
        <v>458</v>
      </c>
      <c r="C268" s="17" t="s">
        <v>324</v>
      </c>
      <c r="D268" s="4">
        <v>1.2157757277777778E-2</v>
      </c>
      <c r="E268" t="s">
        <v>446</v>
      </c>
      <c r="F268" s="4">
        <v>6.0788786388888891E-3</v>
      </c>
      <c r="G268" s="1">
        <f t="shared" si="6"/>
        <v>6.0788786388888891E-3</v>
      </c>
      <c r="I268" s="13" t="s">
        <v>66</v>
      </c>
    </row>
    <row r="269" spans="1:28" x14ac:dyDescent="0.3">
      <c r="A269" s="14"/>
      <c r="B269" s="26" t="s">
        <v>458</v>
      </c>
      <c r="C269" t="s">
        <v>333</v>
      </c>
      <c r="E269" t="s">
        <v>446</v>
      </c>
      <c r="F269" s="4">
        <v>1.2039692873684212E-3</v>
      </c>
      <c r="G269" s="1">
        <f t="shared" si="6"/>
        <v>1.2039692873684212E-3</v>
      </c>
      <c r="I269" s="13" t="s">
        <v>66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 x14ac:dyDescent="0.3">
      <c r="A270" s="14"/>
      <c r="B270" s="26" t="s">
        <v>458</v>
      </c>
      <c r="C270" t="s">
        <v>340</v>
      </c>
      <c r="D270" s="4">
        <v>3.451314832538889E-2</v>
      </c>
      <c r="E270" t="s">
        <v>446</v>
      </c>
      <c r="F270" s="4">
        <v>1.7256574162694445E-2</v>
      </c>
      <c r="G270" s="1">
        <f t="shared" si="6"/>
        <v>1.7256574162694445E-2</v>
      </c>
      <c r="I270" s="13" t="s">
        <v>66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 x14ac:dyDescent="0.3">
      <c r="B271" s="27" t="s">
        <v>459</v>
      </c>
      <c r="C271" s="9" t="s">
        <v>10</v>
      </c>
      <c r="D271" s="4" t="s">
        <v>460</v>
      </c>
      <c r="E271" t="s">
        <v>461</v>
      </c>
      <c r="F271" s="4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462</v>
      </c>
    </row>
    <row r="272" spans="1:28" x14ac:dyDescent="0.3">
      <c r="B272" s="27" t="s">
        <v>459</v>
      </c>
      <c r="C272" s="9" t="s">
        <v>1327</v>
      </c>
      <c r="D272" s="4">
        <v>0.64</v>
      </c>
      <c r="E272" t="s">
        <v>461</v>
      </c>
      <c r="F272" s="4">
        <v>0.5571829081930415</v>
      </c>
      <c r="I272" t="s">
        <v>463</v>
      </c>
    </row>
    <row r="273" spans="2:10" x14ac:dyDescent="0.3">
      <c r="B273" s="27" t="s">
        <v>459</v>
      </c>
      <c r="C273" s="9" t="s">
        <v>1327</v>
      </c>
      <c r="D273" s="4" t="s">
        <v>464</v>
      </c>
      <c r="E273" t="s">
        <v>461</v>
      </c>
      <c r="F273" s="4">
        <v>0.17083333333333336</v>
      </c>
      <c r="I273" t="s">
        <v>465</v>
      </c>
      <c r="J273" t="s">
        <v>466</v>
      </c>
    </row>
    <row r="274" spans="2:10" x14ac:dyDescent="0.3">
      <c r="B274" s="27" t="s">
        <v>459</v>
      </c>
      <c r="C274" s="9" t="s">
        <v>1327</v>
      </c>
      <c r="D274" s="4" t="s">
        <v>467</v>
      </c>
      <c r="E274" t="s">
        <v>468</v>
      </c>
      <c r="F274" s="4">
        <v>0.17500000000000002</v>
      </c>
      <c r="I274" t="s">
        <v>469</v>
      </c>
      <c r="J274" t="s">
        <v>470</v>
      </c>
    </row>
    <row r="275" spans="2:10" x14ac:dyDescent="0.3">
      <c r="B275" s="27" t="s">
        <v>459</v>
      </c>
      <c r="C275" s="9" t="s">
        <v>1327</v>
      </c>
      <c r="D275" s="4" t="s">
        <v>471</v>
      </c>
      <c r="E275" t="s">
        <v>472</v>
      </c>
      <c r="F275" s="4">
        <v>0.20023760763187429</v>
      </c>
      <c r="I275" t="s">
        <v>473</v>
      </c>
      <c r="J275" t="s">
        <v>474</v>
      </c>
    </row>
    <row r="276" spans="2:10" x14ac:dyDescent="0.3">
      <c r="B276" s="27" t="s">
        <v>459</v>
      </c>
      <c r="C276" t="s">
        <v>24</v>
      </c>
      <c r="D276">
        <v>0.11137579365079364</v>
      </c>
      <c r="E276" t="s">
        <v>446</v>
      </c>
      <c r="F276" s="4">
        <v>5.5687896825396821E-2</v>
      </c>
      <c r="G276" s="1">
        <f>F276</f>
        <v>5.5687896825396821E-2</v>
      </c>
      <c r="I276" s="13" t="s">
        <v>66</v>
      </c>
      <c r="J276" t="s">
        <v>475</v>
      </c>
    </row>
    <row r="277" spans="2:10" x14ac:dyDescent="0.3">
      <c r="B277" s="27" t="s">
        <v>459</v>
      </c>
      <c r="C277" t="s">
        <v>29</v>
      </c>
      <c r="D277">
        <v>0.46536920634920637</v>
      </c>
      <c r="E277" t="s">
        <v>446</v>
      </c>
      <c r="F277" s="4">
        <v>0.23268460317460318</v>
      </c>
      <c r="G277" s="1">
        <f>F277</f>
        <v>0.23268460317460318</v>
      </c>
      <c r="I277" s="13" t="s">
        <v>66</v>
      </c>
      <c r="J277" t="s">
        <v>476</v>
      </c>
    </row>
    <row r="278" spans="2:10" x14ac:dyDescent="0.3">
      <c r="B278" s="27" t="s">
        <v>459</v>
      </c>
      <c r="C278" s="9" t="s">
        <v>33</v>
      </c>
      <c r="D278" s="4" t="s">
        <v>477</v>
      </c>
      <c r="E278" t="s">
        <v>478</v>
      </c>
      <c r="F278" s="4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479</v>
      </c>
    </row>
    <row r="279" spans="2:10" x14ac:dyDescent="0.3">
      <c r="B279" s="27" t="s">
        <v>459</v>
      </c>
      <c r="C279" s="9" t="s">
        <v>1327</v>
      </c>
      <c r="D279" s="4">
        <v>74.099999999999994</v>
      </c>
      <c r="E279" t="s">
        <v>480</v>
      </c>
      <c r="F279" s="4">
        <v>0.55451612272727269</v>
      </c>
      <c r="I279" t="s">
        <v>481</v>
      </c>
    </row>
    <row r="280" spans="2:10" x14ac:dyDescent="0.3">
      <c r="B280" s="27" t="s">
        <v>459</v>
      </c>
      <c r="C280" s="9" t="s">
        <v>1327</v>
      </c>
      <c r="D280" s="4" t="s">
        <v>482</v>
      </c>
      <c r="E280" t="s">
        <v>483</v>
      </c>
      <c r="F280" s="4">
        <v>0.46409271428571419</v>
      </c>
      <c r="I280" t="s">
        <v>484</v>
      </c>
      <c r="J280" t="s">
        <v>485</v>
      </c>
    </row>
    <row r="281" spans="2:10" x14ac:dyDescent="0.3">
      <c r="B281" s="27" t="s">
        <v>459</v>
      </c>
      <c r="C281" s="9" t="s">
        <v>1327</v>
      </c>
      <c r="D281" s="4">
        <v>0.1</v>
      </c>
      <c r="E281" t="s">
        <v>486</v>
      </c>
      <c r="F281" s="4">
        <v>0.1</v>
      </c>
      <c r="I281" t="s">
        <v>487</v>
      </c>
    </row>
    <row r="282" spans="2:10" x14ac:dyDescent="0.3">
      <c r="B282" s="27" t="s">
        <v>459</v>
      </c>
      <c r="C282" s="9"/>
      <c r="D282" s="4" t="s">
        <v>488</v>
      </c>
      <c r="E282" t="s">
        <v>489</v>
      </c>
      <c r="F282" s="4">
        <v>0.58213808333333328</v>
      </c>
      <c r="I282" t="s">
        <v>490</v>
      </c>
    </row>
    <row r="283" spans="2:10" x14ac:dyDescent="0.3">
      <c r="B283" s="27" t="s">
        <v>459</v>
      </c>
      <c r="C283" s="9" t="s">
        <v>47</v>
      </c>
      <c r="D283" s="4">
        <v>0.27</v>
      </c>
      <c r="E283" t="s">
        <v>491</v>
      </c>
      <c r="F283" s="4">
        <v>9.4056000000000015E-2</v>
      </c>
      <c r="G283" s="1">
        <f>AVERAGE(F283:F284)</f>
        <v>0.19028922222222225</v>
      </c>
      <c r="H283">
        <f>_xlfn.STDEV.P(F284:F284)</f>
        <v>0</v>
      </c>
      <c r="I283" t="s">
        <v>492</v>
      </c>
      <c r="J283" t="s">
        <v>493</v>
      </c>
    </row>
    <row r="284" spans="2:10" x14ac:dyDescent="0.3">
      <c r="B284" s="27" t="s">
        <v>459</v>
      </c>
      <c r="C284" s="9" t="s">
        <v>1327</v>
      </c>
      <c r="D284" s="4">
        <f>AVERAGE(0.73,0.7,0.84,1.02)</f>
        <v>0.82250000000000001</v>
      </c>
      <c r="E284" t="s">
        <v>494</v>
      </c>
      <c r="F284" s="4">
        <v>0.28652244444444447</v>
      </c>
      <c r="I284" t="s">
        <v>495</v>
      </c>
    </row>
    <row r="285" spans="2:10" x14ac:dyDescent="0.3">
      <c r="B285" s="27" t="s">
        <v>459</v>
      </c>
      <c r="C285" t="s">
        <v>64</v>
      </c>
      <c r="E285" t="s">
        <v>446</v>
      </c>
      <c r="F285" s="4">
        <v>0.16723788888888888</v>
      </c>
      <c r="G285" s="1">
        <f>F285</f>
        <v>0.16723788888888888</v>
      </c>
      <c r="I285" s="13" t="s">
        <v>66</v>
      </c>
    </row>
    <row r="286" spans="2:10" x14ac:dyDescent="0.3">
      <c r="B286" s="27" t="s">
        <v>459</v>
      </c>
      <c r="C286" s="9" t="s">
        <v>67</v>
      </c>
      <c r="D286" s="4" t="s">
        <v>496</v>
      </c>
      <c r="E286" t="s">
        <v>497</v>
      </c>
      <c r="F286" s="4">
        <v>0.12489403508771933</v>
      </c>
      <c r="G286" s="1">
        <f>F286</f>
        <v>0.12489403508771933</v>
      </c>
      <c r="H286">
        <v>0</v>
      </c>
      <c r="I286" t="s">
        <v>498</v>
      </c>
      <c r="J286" t="s">
        <v>499</v>
      </c>
    </row>
    <row r="287" spans="2:10" x14ac:dyDescent="0.3">
      <c r="B287" s="27" t="s">
        <v>459</v>
      </c>
      <c r="C287" s="9" t="s">
        <v>79</v>
      </c>
      <c r="E287" t="s">
        <v>446</v>
      </c>
      <c r="F287" s="4">
        <v>1.0923257477132223E-2</v>
      </c>
      <c r="G287" s="1">
        <f>F287</f>
        <v>1.0923257477132223E-2</v>
      </c>
      <c r="I287" s="13" t="s">
        <v>66</v>
      </c>
    </row>
    <row r="288" spans="2:10" x14ac:dyDescent="0.3">
      <c r="B288" s="27" t="s">
        <v>459</v>
      </c>
      <c r="C288" s="9" t="s">
        <v>83</v>
      </c>
      <c r="E288" t="s">
        <v>446</v>
      </c>
      <c r="F288" s="4">
        <v>3.1300813988095234E-2</v>
      </c>
      <c r="G288" s="1">
        <f>F288</f>
        <v>3.1300813988095234E-2</v>
      </c>
      <c r="I288" s="13" t="s">
        <v>66</v>
      </c>
      <c r="J288" t="s">
        <v>500</v>
      </c>
    </row>
    <row r="289" spans="2:15" x14ac:dyDescent="0.3">
      <c r="B289" s="27" t="s">
        <v>459</v>
      </c>
      <c r="C289" s="9" t="s">
        <v>87</v>
      </c>
      <c r="D289" s="4" t="s">
        <v>501</v>
      </c>
      <c r="E289" t="s">
        <v>502</v>
      </c>
      <c r="F289" s="4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503</v>
      </c>
    </row>
    <row r="290" spans="2:15" x14ac:dyDescent="0.3">
      <c r="B290" s="27" t="s">
        <v>459</v>
      </c>
      <c r="C290" s="9" t="s">
        <v>1327</v>
      </c>
      <c r="D290">
        <v>41.39</v>
      </c>
      <c r="E290" t="s">
        <v>504</v>
      </c>
      <c r="F290" s="4">
        <v>0.17125746138315004</v>
      </c>
      <c r="I290" t="s">
        <v>505</v>
      </c>
    </row>
    <row r="291" spans="2:15" x14ac:dyDescent="0.3">
      <c r="B291" s="27" t="s">
        <v>459</v>
      </c>
      <c r="C291" s="9" t="s">
        <v>1327</v>
      </c>
      <c r="D291" s="4" t="s">
        <v>506</v>
      </c>
      <c r="E291" t="s">
        <v>507</v>
      </c>
      <c r="F291" s="4">
        <v>0.1121430185730994</v>
      </c>
      <c r="I291" t="s">
        <v>508</v>
      </c>
      <c r="J291" t="s">
        <v>509</v>
      </c>
    </row>
    <row r="292" spans="2:15" x14ac:dyDescent="0.3">
      <c r="B292" s="27" t="s">
        <v>459</v>
      </c>
      <c r="C292" s="9" t="s">
        <v>101</v>
      </c>
      <c r="D292" s="4" t="s">
        <v>510</v>
      </c>
      <c r="E292" t="s">
        <v>502</v>
      </c>
      <c r="F292" s="4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511</v>
      </c>
      <c r="J292" t="s">
        <v>512</v>
      </c>
    </row>
    <row r="293" spans="2:15" x14ac:dyDescent="0.3">
      <c r="B293" s="27" t="s">
        <v>459</v>
      </c>
      <c r="C293" s="9" t="s">
        <v>1327</v>
      </c>
      <c r="D293" s="4" t="s">
        <v>513</v>
      </c>
      <c r="E293" t="s">
        <v>514</v>
      </c>
      <c r="F293" s="4">
        <v>4.878956727272727E-2</v>
      </c>
      <c r="I293" t="s">
        <v>515</v>
      </c>
      <c r="J293" t="s">
        <v>516</v>
      </c>
    </row>
    <row r="294" spans="2:15" x14ac:dyDescent="0.3">
      <c r="B294" s="27" t="s">
        <v>459</v>
      </c>
      <c r="C294" s="9" t="s">
        <v>1327</v>
      </c>
      <c r="D294" s="4">
        <v>0.81</v>
      </c>
      <c r="E294" t="s">
        <v>517</v>
      </c>
      <c r="F294" s="4">
        <v>0.62628619418181819</v>
      </c>
      <c r="I294" t="s">
        <v>518</v>
      </c>
      <c r="J294" t="s">
        <v>519</v>
      </c>
    </row>
    <row r="295" spans="2:15" x14ac:dyDescent="0.3">
      <c r="B295" s="27" t="s">
        <v>459</v>
      </c>
      <c r="C295" s="9" t="s">
        <v>1327</v>
      </c>
      <c r="D295" s="4" t="s">
        <v>520</v>
      </c>
      <c r="E295" t="s">
        <v>517</v>
      </c>
      <c r="F295" s="4">
        <v>0.43298798610101014</v>
      </c>
      <c r="I295" t="s">
        <v>521</v>
      </c>
      <c r="J295" t="s">
        <v>522</v>
      </c>
      <c r="K295" t="s">
        <v>523</v>
      </c>
    </row>
    <row r="296" spans="2:15" x14ac:dyDescent="0.3">
      <c r="B296" s="27" t="s">
        <v>459</v>
      </c>
      <c r="C296" s="9" t="s">
        <v>1327</v>
      </c>
      <c r="D296" s="4">
        <v>64.7</v>
      </c>
      <c r="E296" t="s">
        <v>524</v>
      </c>
      <c r="F296" s="4">
        <v>0.50025576251313131</v>
      </c>
      <c r="I296" t="s">
        <v>525</v>
      </c>
      <c r="J296" t="s">
        <v>526</v>
      </c>
    </row>
    <row r="297" spans="2:15" x14ac:dyDescent="0.3">
      <c r="B297" s="27" t="s">
        <v>459</v>
      </c>
      <c r="C297" s="9" t="s">
        <v>115</v>
      </c>
      <c r="D297" s="4" t="s">
        <v>527</v>
      </c>
      <c r="E297" t="s">
        <v>528</v>
      </c>
      <c r="F297" s="4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529</v>
      </c>
      <c r="J297" t="s">
        <v>530</v>
      </c>
    </row>
    <row r="298" spans="2:15" x14ac:dyDescent="0.3">
      <c r="B298" s="27" t="s">
        <v>459</v>
      </c>
      <c r="C298" s="9" t="s">
        <v>1327</v>
      </c>
      <c r="D298" s="4">
        <v>1.2</v>
      </c>
      <c r="E298" t="s">
        <v>531</v>
      </c>
      <c r="F298" s="4">
        <v>0.43775929824561405</v>
      </c>
      <c r="I298" t="s">
        <v>532</v>
      </c>
      <c r="J298" t="s">
        <v>533</v>
      </c>
    </row>
    <row r="299" spans="2:15" x14ac:dyDescent="0.3">
      <c r="B299" s="27" t="s">
        <v>459</v>
      </c>
      <c r="C299" t="s">
        <v>129</v>
      </c>
      <c r="E299" t="s">
        <v>446</v>
      </c>
      <c r="F299" s="4">
        <v>5.8600885702791067E-2</v>
      </c>
      <c r="G299" s="1">
        <f t="shared" ref="G299:G307" si="7">F299</f>
        <v>5.8600885702791067E-2</v>
      </c>
      <c r="I299" s="13" t="s">
        <v>66</v>
      </c>
      <c r="J299" t="s">
        <v>534</v>
      </c>
    </row>
    <row r="300" spans="2:15" x14ac:dyDescent="0.3">
      <c r="B300" s="27" t="s">
        <v>459</v>
      </c>
      <c r="C300" s="9" t="s">
        <v>148</v>
      </c>
      <c r="D300" s="4" t="s">
        <v>535</v>
      </c>
      <c r="E300" t="s">
        <v>536</v>
      </c>
      <c r="F300" s="4">
        <v>0.33507425845302624</v>
      </c>
      <c r="G300" s="1">
        <f t="shared" si="7"/>
        <v>0.33507425845302624</v>
      </c>
      <c r="H300">
        <v>0</v>
      </c>
      <c r="I300" t="s">
        <v>537</v>
      </c>
      <c r="J300" t="s">
        <v>538</v>
      </c>
    </row>
    <row r="301" spans="2:15" x14ac:dyDescent="0.3">
      <c r="B301" s="27" t="s">
        <v>459</v>
      </c>
      <c r="C301" s="9" t="s">
        <v>164</v>
      </c>
      <c r="D301" s="4" t="s">
        <v>539</v>
      </c>
      <c r="E301" t="s">
        <v>540</v>
      </c>
      <c r="F301" s="4">
        <v>3.7056762719298239E-2</v>
      </c>
      <c r="G301" s="1">
        <f t="shared" si="7"/>
        <v>3.7056762719298239E-2</v>
      </c>
      <c r="H301">
        <v>0</v>
      </c>
      <c r="I301" t="s">
        <v>541</v>
      </c>
    </row>
    <row r="302" spans="2:15" x14ac:dyDescent="0.3">
      <c r="B302" s="27" t="s">
        <v>459</v>
      </c>
      <c r="C302" s="9" t="s">
        <v>181</v>
      </c>
      <c r="D302" s="4">
        <v>0.55150476190476216</v>
      </c>
      <c r="E302" t="s">
        <v>446</v>
      </c>
      <c r="F302" s="4">
        <v>0.27575238095238108</v>
      </c>
      <c r="G302" s="1">
        <f t="shared" si="7"/>
        <v>0.27575238095238108</v>
      </c>
      <c r="I302" s="13" t="s">
        <v>66</v>
      </c>
      <c r="J302" t="s">
        <v>542</v>
      </c>
      <c r="K302" t="s">
        <v>543</v>
      </c>
      <c r="O302" t="s">
        <v>544</v>
      </c>
    </row>
    <row r="303" spans="2:15" x14ac:dyDescent="0.3">
      <c r="B303" s="27" t="s">
        <v>459</v>
      </c>
      <c r="C303" s="9" t="s">
        <v>192</v>
      </c>
      <c r="D303">
        <v>0.125</v>
      </c>
      <c r="E303" t="s">
        <v>545</v>
      </c>
      <c r="F303">
        <v>0.125</v>
      </c>
      <c r="G303" s="1">
        <f t="shared" si="7"/>
        <v>0.125</v>
      </c>
      <c r="I303" t="s">
        <v>546</v>
      </c>
      <c r="J303" t="s">
        <v>547</v>
      </c>
      <c r="K303" t="s">
        <v>548</v>
      </c>
    </row>
    <row r="304" spans="2:15" x14ac:dyDescent="0.3">
      <c r="B304" s="27" t="s">
        <v>459</v>
      </c>
      <c r="C304" s="17" t="s">
        <v>204</v>
      </c>
      <c r="D304" s="4">
        <v>0.17720063349529128</v>
      </c>
      <c r="E304" t="s">
        <v>446</v>
      </c>
      <c r="F304" s="4">
        <v>8.8600316747645638E-2</v>
      </c>
      <c r="G304" s="1">
        <f t="shared" si="7"/>
        <v>8.8600316747645638E-2</v>
      </c>
      <c r="I304" s="13" t="s">
        <v>66</v>
      </c>
    </row>
    <row r="305" spans="1:28" x14ac:dyDescent="0.3">
      <c r="B305" s="27" t="s">
        <v>459</v>
      </c>
      <c r="C305" s="17" t="s">
        <v>217</v>
      </c>
      <c r="D305" s="4">
        <v>9.3195236183709257E-2</v>
      </c>
      <c r="E305" t="s">
        <v>446</v>
      </c>
      <c r="F305" s="4">
        <v>4.6597618091854628E-2</v>
      </c>
      <c r="G305" s="1">
        <f t="shared" si="7"/>
        <v>4.6597618091854628E-2</v>
      </c>
      <c r="I305" s="13" t="s">
        <v>66</v>
      </c>
    </row>
    <row r="306" spans="1:28" x14ac:dyDescent="0.3">
      <c r="B306" s="27" t="s">
        <v>459</v>
      </c>
      <c r="C306" s="17" t="s">
        <v>230</v>
      </c>
      <c r="D306" s="4">
        <v>0.44959424285714289</v>
      </c>
      <c r="E306" t="s">
        <v>446</v>
      </c>
      <c r="F306" s="4">
        <v>0.22479712142857144</v>
      </c>
      <c r="G306" s="1">
        <f t="shared" si="7"/>
        <v>0.22479712142857144</v>
      </c>
      <c r="I306" s="13" t="s">
        <v>66</v>
      </c>
    </row>
    <row r="307" spans="1:28" ht="12" customHeight="1" x14ac:dyDescent="0.3">
      <c r="B307" s="27" t="s">
        <v>459</v>
      </c>
      <c r="C307" s="17" t="s">
        <v>241</v>
      </c>
      <c r="D307" s="4">
        <v>7.7658939849624062E-2</v>
      </c>
      <c r="E307" t="s">
        <v>446</v>
      </c>
      <c r="F307" s="4">
        <v>3.8829469924812031E-2</v>
      </c>
      <c r="G307" s="1">
        <f t="shared" si="7"/>
        <v>3.8829469924812031E-2</v>
      </c>
      <c r="I307" s="13" t="s">
        <v>66</v>
      </c>
    </row>
    <row r="308" spans="1:28" x14ac:dyDescent="0.3">
      <c r="B308" s="27" t="s">
        <v>459</v>
      </c>
      <c r="C308" s="17" t="s">
        <v>256</v>
      </c>
      <c r="D308" s="4">
        <v>0.122</v>
      </c>
      <c r="E308" t="s">
        <v>549</v>
      </c>
      <c r="F308" s="4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550</v>
      </c>
    </row>
    <row r="309" spans="1:28" x14ac:dyDescent="0.3">
      <c r="B309" s="27" t="s">
        <v>459</v>
      </c>
      <c r="C309" s="17" t="s">
        <v>1327</v>
      </c>
      <c r="D309" s="4">
        <v>4.4800000000000004</v>
      </c>
      <c r="E309" t="s">
        <v>551</v>
      </c>
      <c r="F309" s="4">
        <v>0.15020023590892123</v>
      </c>
      <c r="I309" t="s">
        <v>552</v>
      </c>
    </row>
    <row r="310" spans="1:28" x14ac:dyDescent="0.3">
      <c r="B310" s="27" t="s">
        <v>459</v>
      </c>
      <c r="C310" s="17" t="s">
        <v>1327</v>
      </c>
      <c r="D310" s="4" t="s">
        <v>553</v>
      </c>
      <c r="E310" t="s">
        <v>554</v>
      </c>
      <c r="F310" s="4">
        <v>0.10636389473684212</v>
      </c>
      <c r="I310" t="s">
        <v>555</v>
      </c>
    </row>
    <row r="311" spans="1:28" x14ac:dyDescent="0.3">
      <c r="B311" s="27" t="s">
        <v>459</v>
      </c>
      <c r="C311" s="17" t="s">
        <v>1327</v>
      </c>
      <c r="D311" s="4">
        <v>0.7</v>
      </c>
      <c r="E311" t="s">
        <v>554</v>
      </c>
      <c r="F311" s="4">
        <v>0.11030329824561402</v>
      </c>
      <c r="I311" t="s">
        <v>556</v>
      </c>
    </row>
    <row r="312" spans="1:28" x14ac:dyDescent="0.3">
      <c r="B312" s="27" t="s">
        <v>459</v>
      </c>
      <c r="C312" s="17" t="s">
        <v>264</v>
      </c>
      <c r="D312" s="4">
        <v>0.10921479699248123</v>
      </c>
      <c r="E312" t="s">
        <v>446</v>
      </c>
      <c r="F312" s="4">
        <v>5.4607398496240613E-2</v>
      </c>
      <c r="G312" s="1">
        <f t="shared" ref="G312:G352" si="8">F312</f>
        <v>5.4607398496240613E-2</v>
      </c>
      <c r="I312" s="13" t="s">
        <v>66</v>
      </c>
    </row>
    <row r="313" spans="1:28" x14ac:dyDescent="0.3">
      <c r="B313" s="27" t="s">
        <v>459</v>
      </c>
      <c r="C313" s="17" t="s">
        <v>277</v>
      </c>
      <c r="D313" s="4">
        <v>0.32824203535353536</v>
      </c>
      <c r="E313" t="s">
        <v>446</v>
      </c>
      <c r="F313" s="4">
        <v>0.16412101767676768</v>
      </c>
      <c r="G313" s="1">
        <f t="shared" si="8"/>
        <v>0.16412101767676768</v>
      </c>
      <c r="I313" s="13" t="s">
        <v>66</v>
      </c>
    </row>
    <row r="314" spans="1:28" x14ac:dyDescent="0.3">
      <c r="B314" s="27" t="s">
        <v>459</v>
      </c>
      <c r="C314" s="17" t="s">
        <v>290</v>
      </c>
      <c r="D314" s="4">
        <v>7.9658995450274175E-2</v>
      </c>
      <c r="E314" t="s">
        <v>446</v>
      </c>
      <c r="F314" s="4">
        <v>3.9829497725137088E-2</v>
      </c>
      <c r="G314" s="1">
        <f t="shared" si="8"/>
        <v>3.9829497725137088E-2</v>
      </c>
      <c r="I314" s="13" t="s">
        <v>66</v>
      </c>
    </row>
    <row r="315" spans="1:28" ht="12" customHeight="1" x14ac:dyDescent="0.3">
      <c r="B315" s="27" t="s">
        <v>459</v>
      </c>
      <c r="C315" s="17" t="s">
        <v>296</v>
      </c>
      <c r="D315" s="4">
        <v>0.14442841925095376</v>
      </c>
      <c r="E315" t="s">
        <v>446</v>
      </c>
      <c r="F315" s="4">
        <v>7.221420962547688E-2</v>
      </c>
      <c r="G315" s="1">
        <f t="shared" si="8"/>
        <v>7.221420962547688E-2</v>
      </c>
      <c r="I315" s="13" t="s">
        <v>66</v>
      </c>
    </row>
    <row r="316" spans="1:28" x14ac:dyDescent="0.3">
      <c r="B316" s="27" t="s">
        <v>459</v>
      </c>
      <c r="C316" s="17" t="s">
        <v>310</v>
      </c>
      <c r="D316" s="4">
        <v>0.13810983742737698</v>
      </c>
      <c r="E316" t="s">
        <v>446</v>
      </c>
      <c r="F316" s="4">
        <v>6.905491871368849E-2</v>
      </c>
      <c r="G316" s="1">
        <f t="shared" si="8"/>
        <v>6.905491871368849E-2</v>
      </c>
      <c r="I316" s="13" t="s">
        <v>66</v>
      </c>
    </row>
    <row r="317" spans="1:28" x14ac:dyDescent="0.3">
      <c r="B317" s="27" t="s">
        <v>459</v>
      </c>
      <c r="C317" s="17" t="s">
        <v>311</v>
      </c>
      <c r="D317" s="4">
        <v>0.57150869590985043</v>
      </c>
      <c r="E317" t="s">
        <v>446</v>
      </c>
      <c r="F317" s="4">
        <v>0.28575434795492521</v>
      </c>
      <c r="G317" s="1">
        <f t="shared" si="8"/>
        <v>0.28575434795492521</v>
      </c>
      <c r="I317" s="13" t="s">
        <v>66</v>
      </c>
    </row>
    <row r="318" spans="1:28" x14ac:dyDescent="0.3">
      <c r="B318" s="27" t="s">
        <v>459</v>
      </c>
      <c r="C318" s="17" t="s">
        <v>324</v>
      </c>
      <c r="D318" s="4">
        <v>0.11146151476911977</v>
      </c>
      <c r="E318" t="s">
        <v>446</v>
      </c>
      <c r="F318" s="4">
        <v>5.5730757384559883E-2</v>
      </c>
      <c r="G318" s="1">
        <f t="shared" si="8"/>
        <v>5.5730757384559883E-2</v>
      </c>
      <c r="I318" s="13" t="s">
        <v>66</v>
      </c>
    </row>
    <row r="319" spans="1:28" x14ac:dyDescent="0.3">
      <c r="B319" s="27" t="s">
        <v>459</v>
      </c>
      <c r="C319" s="17" t="s">
        <v>340</v>
      </c>
      <c r="D319" s="4">
        <v>0.12</v>
      </c>
      <c r="E319" t="s">
        <v>557</v>
      </c>
      <c r="F319" s="4">
        <v>0.124</v>
      </c>
      <c r="G319" s="1">
        <f t="shared" si="8"/>
        <v>0.124</v>
      </c>
      <c r="I319" s="10" t="s">
        <v>558</v>
      </c>
    </row>
    <row r="320" spans="1:28" x14ac:dyDescent="0.3">
      <c r="A320" s="14"/>
      <c r="B320" s="27" t="s">
        <v>459</v>
      </c>
      <c r="C320" t="s">
        <v>333</v>
      </c>
      <c r="E320" t="s">
        <v>446</v>
      </c>
      <c r="F320" s="4">
        <v>3.4891571428571432E-2</v>
      </c>
      <c r="G320" s="1">
        <f t="shared" si="8"/>
        <v>3.4891571428571432E-2</v>
      </c>
      <c r="I320" s="13" t="s">
        <v>66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 x14ac:dyDescent="0.3">
      <c r="A321" s="14"/>
      <c r="B321" s="27" t="s">
        <v>459</v>
      </c>
      <c r="C321" t="s">
        <v>340</v>
      </c>
      <c r="D321" s="4">
        <v>12.4</v>
      </c>
      <c r="E321" t="s">
        <v>559</v>
      </c>
      <c r="F321" s="4">
        <v>0.11164133333333333</v>
      </c>
      <c r="G321" s="1">
        <f t="shared" si="8"/>
        <v>0.11164133333333333</v>
      </c>
      <c r="I321" t="s">
        <v>560</v>
      </c>
      <c r="J321" s="10" t="s">
        <v>561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 ht="12" customHeight="1" x14ac:dyDescent="0.3">
      <c r="B322" s="28" t="s">
        <v>562</v>
      </c>
      <c r="C322" s="9" t="s">
        <v>10</v>
      </c>
      <c r="D322" s="4" t="s">
        <v>563</v>
      </c>
      <c r="E322" t="s">
        <v>564</v>
      </c>
      <c r="F322">
        <v>0.11914305514403292</v>
      </c>
      <c r="G322" s="1">
        <f>F322</f>
        <v>0.11914305514403292</v>
      </c>
      <c r="H322">
        <v>0</v>
      </c>
      <c r="I322" t="s">
        <v>565</v>
      </c>
    </row>
    <row r="323" spans="1:28" ht="12" customHeight="1" x14ac:dyDescent="0.3">
      <c r="B323" s="28" t="s">
        <v>562</v>
      </c>
      <c r="C323" s="9" t="s">
        <v>24</v>
      </c>
      <c r="E323" t="s">
        <v>446</v>
      </c>
      <c r="F323" s="4">
        <v>5.8430555555555555E-2</v>
      </c>
      <c r="G323" s="1">
        <f>F323</f>
        <v>5.8430555555555555E-2</v>
      </c>
      <c r="I323" s="13" t="s">
        <v>66</v>
      </c>
    </row>
    <row r="324" spans="1:28" x14ac:dyDescent="0.3">
      <c r="B324" s="28" t="s">
        <v>562</v>
      </c>
      <c r="C324" t="s">
        <v>29</v>
      </c>
      <c r="D324"/>
      <c r="E324" t="s">
        <v>446</v>
      </c>
      <c r="F324" s="4">
        <v>0.18989444444444448</v>
      </c>
      <c r="G324" s="1">
        <f t="shared" si="8"/>
        <v>0.18989444444444448</v>
      </c>
      <c r="I324" s="13" t="s">
        <v>66</v>
      </c>
      <c r="J324" t="s">
        <v>566</v>
      </c>
    </row>
    <row r="325" spans="1:28" x14ac:dyDescent="0.3">
      <c r="B325" s="28" t="s">
        <v>562</v>
      </c>
      <c r="C325" s="9" t="s">
        <v>33</v>
      </c>
      <c r="E325" t="s">
        <v>446</v>
      </c>
      <c r="F325" s="4">
        <v>8.3693408333333316E-2</v>
      </c>
      <c r="G325" s="1">
        <f t="shared" si="8"/>
        <v>8.3693408333333316E-2</v>
      </c>
      <c r="I325" s="13" t="s">
        <v>66</v>
      </c>
    </row>
    <row r="326" spans="1:28" x14ac:dyDescent="0.3">
      <c r="B326" s="28" t="s">
        <v>562</v>
      </c>
      <c r="C326" s="9" t="s">
        <v>47</v>
      </c>
      <c r="E326" t="s">
        <v>446</v>
      </c>
      <c r="F326" s="4">
        <v>4.1193044444444445E-2</v>
      </c>
      <c r="G326" s="1">
        <f t="shared" si="8"/>
        <v>4.1193044444444445E-2</v>
      </c>
      <c r="I326" s="13" t="s">
        <v>66</v>
      </c>
    </row>
    <row r="327" spans="1:28" x14ac:dyDescent="0.3">
      <c r="B327" s="28" t="s">
        <v>562</v>
      </c>
      <c r="C327" s="9" t="s">
        <v>64</v>
      </c>
      <c r="E327" t="s">
        <v>446</v>
      </c>
      <c r="F327" s="4">
        <v>4.9428499999999993E-2</v>
      </c>
      <c r="G327" s="1">
        <f t="shared" si="8"/>
        <v>4.9428499999999993E-2</v>
      </c>
      <c r="I327" s="13" t="s">
        <v>66</v>
      </c>
    </row>
    <row r="328" spans="1:28" x14ac:dyDescent="0.3">
      <c r="B328" s="28" t="s">
        <v>562</v>
      </c>
      <c r="C328" t="s">
        <v>67</v>
      </c>
      <c r="D328" s="4">
        <v>3.6921799122807027E-2</v>
      </c>
      <c r="E328" t="s">
        <v>446</v>
      </c>
      <c r="F328" s="4">
        <v>1.8460899561403513E-2</v>
      </c>
      <c r="G328" s="1">
        <f t="shared" si="8"/>
        <v>1.8460899561403513E-2</v>
      </c>
      <c r="I328" s="13" t="s">
        <v>66</v>
      </c>
    </row>
    <row r="329" spans="1:28" x14ac:dyDescent="0.3">
      <c r="B329" s="28" t="s">
        <v>562</v>
      </c>
      <c r="C329" s="9" t="s">
        <v>79</v>
      </c>
      <c r="E329" t="s">
        <v>446</v>
      </c>
      <c r="F329" s="4">
        <v>1.734949782339181E-3</v>
      </c>
      <c r="G329" s="1">
        <f t="shared" si="8"/>
        <v>1.734949782339181E-3</v>
      </c>
      <c r="I329" s="13" t="s">
        <v>66</v>
      </c>
    </row>
    <row r="330" spans="1:28" x14ac:dyDescent="0.3">
      <c r="B330" s="28" t="s">
        <v>562</v>
      </c>
      <c r="C330" s="9" t="s">
        <v>83</v>
      </c>
      <c r="E330" t="s">
        <v>446</v>
      </c>
      <c r="F330" s="4">
        <v>7.3423395833333328E-3</v>
      </c>
      <c r="G330" s="1">
        <f t="shared" si="8"/>
        <v>7.3423395833333328E-3</v>
      </c>
      <c r="I330" s="13" t="s">
        <v>66</v>
      </c>
    </row>
    <row r="331" spans="1:28" x14ac:dyDescent="0.3">
      <c r="B331" s="28" t="s">
        <v>562</v>
      </c>
      <c r="C331" s="9" t="s">
        <v>87</v>
      </c>
      <c r="E331" t="s">
        <v>446</v>
      </c>
      <c r="F331" s="4">
        <v>2.3470640612865495E-2</v>
      </c>
      <c r="G331" s="1">
        <f t="shared" si="8"/>
        <v>2.3470640612865495E-2</v>
      </c>
      <c r="I331" s="13" t="s">
        <v>66</v>
      </c>
    </row>
    <row r="332" spans="1:28" x14ac:dyDescent="0.3">
      <c r="B332" s="28" t="s">
        <v>562</v>
      </c>
      <c r="C332" s="9" t="s">
        <v>101</v>
      </c>
      <c r="E332" t="s">
        <v>446</v>
      </c>
      <c r="F332" s="4">
        <v>7.6636805422222218E-2</v>
      </c>
      <c r="G332" s="1">
        <f t="shared" si="8"/>
        <v>7.6636805422222218E-2</v>
      </c>
      <c r="I332" s="13" t="s">
        <v>66</v>
      </c>
    </row>
    <row r="333" spans="1:28" x14ac:dyDescent="0.3">
      <c r="B333" s="28" t="s">
        <v>562</v>
      </c>
      <c r="C333" s="9" t="s">
        <v>115</v>
      </c>
      <c r="E333" t="s">
        <v>446</v>
      </c>
      <c r="F333" s="4">
        <v>3.2369381578947358E-2</v>
      </c>
      <c r="G333" s="1">
        <f t="shared" si="8"/>
        <v>3.2369381578947358E-2</v>
      </c>
      <c r="I333" s="13" t="s">
        <v>66</v>
      </c>
    </row>
    <row r="334" spans="1:28" x14ac:dyDescent="0.3">
      <c r="B334" s="28" t="s">
        <v>562</v>
      </c>
      <c r="C334" t="s">
        <v>129</v>
      </c>
      <c r="E334" t="s">
        <v>446</v>
      </c>
      <c r="F334" s="4">
        <v>2.077382575609649E-2</v>
      </c>
      <c r="G334" s="1">
        <f t="shared" si="8"/>
        <v>2.077382575609649E-2</v>
      </c>
      <c r="I334" s="13" t="s">
        <v>66</v>
      </c>
    </row>
    <row r="335" spans="1:28" x14ac:dyDescent="0.3">
      <c r="B335" s="28" t="s">
        <v>562</v>
      </c>
      <c r="C335" t="s">
        <v>148</v>
      </c>
      <c r="E335" t="s">
        <v>446</v>
      </c>
      <c r="F335" s="4">
        <v>5.3363678198074548E-2</v>
      </c>
      <c r="G335" s="1">
        <f t="shared" si="8"/>
        <v>5.3363678198074548E-2</v>
      </c>
      <c r="I335" s="13" t="s">
        <v>66</v>
      </c>
    </row>
    <row r="336" spans="1:28" x14ac:dyDescent="0.3">
      <c r="B336" s="28" t="s">
        <v>562</v>
      </c>
      <c r="C336" t="s">
        <v>164</v>
      </c>
      <c r="E336" t="s">
        <v>446</v>
      </c>
      <c r="F336" s="4">
        <v>3.606550419517543E-2</v>
      </c>
      <c r="G336" s="1">
        <f t="shared" si="8"/>
        <v>3.606550419517543E-2</v>
      </c>
      <c r="I336" s="13" t="s">
        <v>66</v>
      </c>
    </row>
    <row r="337" spans="1:28" x14ac:dyDescent="0.3">
      <c r="B337" s="28" t="s">
        <v>562</v>
      </c>
      <c r="C337" s="9" t="s">
        <v>181</v>
      </c>
      <c r="D337" s="4">
        <v>0.19550666666666666</v>
      </c>
      <c r="E337" t="s">
        <v>446</v>
      </c>
      <c r="F337" s="4">
        <v>9.7753333333333331E-2</v>
      </c>
      <c r="G337" s="1">
        <f t="shared" si="8"/>
        <v>9.7753333333333331E-2</v>
      </c>
      <c r="I337" s="13" t="s">
        <v>66</v>
      </c>
    </row>
    <row r="338" spans="1:28" x14ac:dyDescent="0.3">
      <c r="B338" s="28" t="s">
        <v>562</v>
      </c>
      <c r="C338" s="9" t="s">
        <v>192</v>
      </c>
      <c r="D338">
        <v>8.2974890755555544E-2</v>
      </c>
      <c r="E338" t="s">
        <v>545</v>
      </c>
      <c r="F338">
        <v>0.125</v>
      </c>
      <c r="G338" s="1">
        <f t="shared" si="8"/>
        <v>0.125</v>
      </c>
      <c r="I338" s="13" t="s">
        <v>66</v>
      </c>
    </row>
    <row r="339" spans="1:28" x14ac:dyDescent="0.3">
      <c r="B339" s="28" t="s">
        <v>562</v>
      </c>
      <c r="C339" s="17" t="s">
        <v>204</v>
      </c>
      <c r="D339" s="4">
        <v>3.9241554321637423E-2</v>
      </c>
      <c r="E339" t="s">
        <v>446</v>
      </c>
      <c r="F339" s="4">
        <v>1.9620777160818711E-2</v>
      </c>
      <c r="G339" s="1">
        <f t="shared" si="8"/>
        <v>1.9620777160818711E-2</v>
      </c>
      <c r="I339" s="13" t="s">
        <v>66</v>
      </c>
    </row>
    <row r="340" spans="1:28" x14ac:dyDescent="0.3">
      <c r="B340" s="28" t="s">
        <v>562</v>
      </c>
      <c r="C340" s="17" t="s">
        <v>217</v>
      </c>
      <c r="D340" s="4">
        <v>1.0545879128245613E-2</v>
      </c>
      <c r="E340" t="s">
        <v>446</v>
      </c>
      <c r="F340" s="4">
        <v>5.2729395641228066E-3</v>
      </c>
      <c r="G340" s="1">
        <f t="shared" si="8"/>
        <v>5.2729395641228066E-3</v>
      </c>
      <c r="I340" s="13" t="s">
        <v>66</v>
      </c>
    </row>
    <row r="341" spans="1:28" x14ac:dyDescent="0.3">
      <c r="B341" s="28" t="s">
        <v>562</v>
      </c>
      <c r="C341" s="17" t="s">
        <v>230</v>
      </c>
      <c r="D341" s="4">
        <v>8.8829400000000003E-2</v>
      </c>
      <c r="E341" t="s">
        <v>446</v>
      </c>
      <c r="F341" s="4">
        <v>4.4414700000000001E-2</v>
      </c>
      <c r="G341" s="1">
        <f t="shared" si="8"/>
        <v>4.4414700000000001E-2</v>
      </c>
      <c r="I341" s="13" t="s">
        <v>66</v>
      </c>
    </row>
    <row r="342" spans="1:28" ht="12" customHeight="1" x14ac:dyDescent="0.3">
      <c r="B342" s="28" t="s">
        <v>562</v>
      </c>
      <c r="C342" s="17" t="s">
        <v>241</v>
      </c>
      <c r="D342" s="4">
        <v>9.9927473684210608E-3</v>
      </c>
      <c r="E342" t="s">
        <v>446</v>
      </c>
      <c r="F342" s="4">
        <v>4.9963736842105304E-3</v>
      </c>
      <c r="G342" s="1">
        <f t="shared" si="8"/>
        <v>4.9963736842105304E-3</v>
      </c>
      <c r="I342" s="13" t="s">
        <v>66</v>
      </c>
    </row>
    <row r="343" spans="1:28" x14ac:dyDescent="0.3">
      <c r="B343" s="28" t="s">
        <v>562</v>
      </c>
      <c r="C343" s="17" t="s">
        <v>256</v>
      </c>
      <c r="D343" s="4">
        <v>2.489905192982456E-2</v>
      </c>
      <c r="E343" t="s">
        <v>549</v>
      </c>
      <c r="F343" s="4">
        <v>0.122</v>
      </c>
      <c r="G343" s="1">
        <f t="shared" si="8"/>
        <v>0.122</v>
      </c>
      <c r="I343" s="13" t="s">
        <v>66</v>
      </c>
    </row>
    <row r="344" spans="1:28" x14ac:dyDescent="0.3">
      <c r="B344" s="28" t="s">
        <v>562</v>
      </c>
      <c r="C344" s="17" t="s">
        <v>264</v>
      </c>
      <c r="D344" s="4">
        <v>2.0256847368421052E-2</v>
      </c>
      <c r="E344" t="s">
        <v>446</v>
      </c>
      <c r="F344" s="4">
        <v>1.0128423684210526E-2</v>
      </c>
      <c r="G344" s="1">
        <f t="shared" si="8"/>
        <v>1.0128423684210526E-2</v>
      </c>
      <c r="I344" s="13" t="s">
        <v>66</v>
      </c>
    </row>
    <row r="345" spans="1:28" x14ac:dyDescent="0.3">
      <c r="B345" s="28" t="s">
        <v>562</v>
      </c>
      <c r="C345" s="17" t="s">
        <v>277</v>
      </c>
      <c r="D345" s="4">
        <v>6.0304872222222215E-2</v>
      </c>
      <c r="E345" t="s">
        <v>446</v>
      </c>
      <c r="F345" s="4">
        <v>3.0152436111111108E-2</v>
      </c>
      <c r="G345" s="1">
        <f t="shared" si="8"/>
        <v>3.0152436111111108E-2</v>
      </c>
      <c r="I345" s="13" t="s">
        <v>66</v>
      </c>
    </row>
    <row r="346" spans="1:28" x14ac:dyDescent="0.3">
      <c r="B346" s="28" t="s">
        <v>562</v>
      </c>
      <c r="C346" s="17" t="s">
        <v>290</v>
      </c>
      <c r="D346" s="4">
        <v>2.7745218023111112E-2</v>
      </c>
      <c r="E346" t="s">
        <v>446</v>
      </c>
      <c r="F346" s="4">
        <v>1.3872609011555556E-2</v>
      </c>
      <c r="G346" s="1">
        <f t="shared" si="8"/>
        <v>1.3872609011555556E-2</v>
      </c>
      <c r="I346" s="13" t="s">
        <v>66</v>
      </c>
    </row>
    <row r="347" spans="1:28" ht="12" customHeight="1" x14ac:dyDescent="0.3">
      <c r="B347" s="28" t="s">
        <v>562</v>
      </c>
      <c r="C347" s="17" t="s">
        <v>296</v>
      </c>
      <c r="D347" s="4">
        <v>4.4535814225775433E-2</v>
      </c>
      <c r="E347" t="s">
        <v>446</v>
      </c>
      <c r="F347" s="4">
        <v>2.2267907112887717E-2</v>
      </c>
      <c r="G347" s="1">
        <f t="shared" si="8"/>
        <v>2.2267907112887717E-2</v>
      </c>
      <c r="I347" s="13" t="s">
        <v>66</v>
      </c>
    </row>
    <row r="348" spans="1:28" x14ac:dyDescent="0.3">
      <c r="B348" s="28" t="s">
        <v>562</v>
      </c>
      <c r="C348" s="17" t="s">
        <v>310</v>
      </c>
      <c r="D348" s="4">
        <v>4.8013879876202772E-2</v>
      </c>
      <c r="E348" t="s">
        <v>446</v>
      </c>
      <c r="F348" s="4">
        <v>2.4006939938101386E-2</v>
      </c>
      <c r="G348" s="1">
        <f t="shared" si="8"/>
        <v>2.4006939938101386E-2</v>
      </c>
      <c r="I348" s="13" t="s">
        <v>66</v>
      </c>
    </row>
    <row r="349" spans="1:28" x14ac:dyDescent="0.3">
      <c r="B349" s="28" t="s">
        <v>562</v>
      </c>
      <c r="C349" s="17" t="s">
        <v>311</v>
      </c>
      <c r="D349" s="4">
        <v>0.16825647419005849</v>
      </c>
      <c r="E349" t="s">
        <v>446</v>
      </c>
      <c r="F349" s="4">
        <v>8.4128237095029243E-2</v>
      </c>
      <c r="G349" s="1">
        <f t="shared" si="8"/>
        <v>8.4128237095029243E-2</v>
      </c>
      <c r="I349" s="13" t="s">
        <v>66</v>
      </c>
    </row>
    <row r="350" spans="1:28" x14ac:dyDescent="0.3">
      <c r="B350" s="28" t="s">
        <v>562</v>
      </c>
      <c r="C350" s="17" t="s">
        <v>324</v>
      </c>
      <c r="D350" s="4">
        <v>6.9457523184210515E-2</v>
      </c>
      <c r="E350" t="s">
        <v>446</v>
      </c>
      <c r="F350" s="4">
        <v>3.4728761592105258E-2</v>
      </c>
      <c r="G350" s="1">
        <f t="shared" si="8"/>
        <v>3.4728761592105258E-2</v>
      </c>
      <c r="I350" s="13" t="s">
        <v>66</v>
      </c>
    </row>
    <row r="351" spans="1:28" x14ac:dyDescent="0.3">
      <c r="A351" s="14"/>
      <c r="B351" s="28" t="s">
        <v>562</v>
      </c>
      <c r="C351" t="s">
        <v>333</v>
      </c>
      <c r="E351" t="s">
        <v>446</v>
      </c>
      <c r="F351" s="4">
        <v>6.3855000000000006E-3</v>
      </c>
      <c r="G351" s="1">
        <f t="shared" si="8"/>
        <v>6.3855000000000006E-3</v>
      </c>
      <c r="I351" s="13" t="s">
        <v>66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1:28" x14ac:dyDescent="0.3">
      <c r="A352" s="14"/>
      <c r="B352" s="28" t="s">
        <v>562</v>
      </c>
      <c r="C352" t="s">
        <v>340</v>
      </c>
      <c r="E352" t="s">
        <v>446</v>
      </c>
      <c r="F352" s="4">
        <v>1.831407386111111E-2</v>
      </c>
      <c r="G352" s="1">
        <f t="shared" si="8"/>
        <v>1.831407386111111E-2</v>
      </c>
      <c r="I352" s="13" t="s">
        <v>66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2:12" x14ac:dyDescent="0.3">
      <c r="B353" s="29" t="s">
        <v>567</v>
      </c>
      <c r="C353" s="9" t="s">
        <v>10</v>
      </c>
      <c r="D353" s="4" t="s">
        <v>568</v>
      </c>
      <c r="E353" t="s">
        <v>569</v>
      </c>
      <c r="F353" s="4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570</v>
      </c>
    </row>
    <row r="354" spans="2:12" ht="12" customHeight="1" x14ac:dyDescent="0.3">
      <c r="B354" s="29" t="s">
        <v>567</v>
      </c>
      <c r="C354" s="9" t="s">
        <v>1327</v>
      </c>
      <c r="D354" s="4" t="s">
        <v>571</v>
      </c>
      <c r="E354" t="s">
        <v>572</v>
      </c>
      <c r="F354" s="4">
        <v>2.6172953228188318E-2</v>
      </c>
      <c r="I354" t="s">
        <v>573</v>
      </c>
    </row>
    <row r="355" spans="2:12" x14ac:dyDescent="0.3">
      <c r="B355" s="29" t="s">
        <v>567</v>
      </c>
      <c r="C355" s="9" t="s">
        <v>1327</v>
      </c>
      <c r="D355" s="4" t="s">
        <v>574</v>
      </c>
      <c r="E355" t="s">
        <v>575</v>
      </c>
      <c r="F355" s="4">
        <v>0.25544529627961587</v>
      </c>
      <c r="I355" t="s">
        <v>576</v>
      </c>
      <c r="J355" t="s">
        <v>577</v>
      </c>
      <c r="K355" t="s">
        <v>578</v>
      </c>
    </row>
    <row r="356" spans="2:12" x14ac:dyDescent="0.3">
      <c r="B356" s="29" t="s">
        <v>567</v>
      </c>
      <c r="C356" s="9" t="s">
        <v>1327</v>
      </c>
      <c r="D356" s="4" t="s">
        <v>579</v>
      </c>
      <c r="E356" t="s">
        <v>580</v>
      </c>
      <c r="F356" s="4">
        <v>0.29052868294036949</v>
      </c>
      <c r="I356" t="s">
        <v>581</v>
      </c>
      <c r="J356" t="s">
        <v>582</v>
      </c>
      <c r="K356" t="s">
        <v>583</v>
      </c>
      <c r="L356" t="s">
        <v>523</v>
      </c>
    </row>
    <row r="357" spans="2:12" x14ac:dyDescent="0.3">
      <c r="B357" s="29" t="s">
        <v>567</v>
      </c>
      <c r="C357" s="9"/>
      <c r="D357" s="4" t="s">
        <v>584</v>
      </c>
      <c r="E357" t="s">
        <v>585</v>
      </c>
      <c r="F357" s="4">
        <v>0.19141701800091446</v>
      </c>
      <c r="I357" t="s">
        <v>586</v>
      </c>
      <c r="J357" t="s">
        <v>587</v>
      </c>
      <c r="K357" t="s">
        <v>588</v>
      </c>
    </row>
    <row r="358" spans="2:12" x14ac:dyDescent="0.3">
      <c r="B358" s="29" t="s">
        <v>567</v>
      </c>
      <c r="C358" s="9" t="s">
        <v>24</v>
      </c>
      <c r="E358" t="s">
        <v>446</v>
      </c>
      <c r="F358" s="4">
        <v>4.3491810185185178E-2</v>
      </c>
      <c r="G358" s="1">
        <f>F358</f>
        <v>4.3491810185185178E-2</v>
      </c>
      <c r="I358" s="13" t="s">
        <v>66</v>
      </c>
      <c r="J358" t="s">
        <v>589</v>
      </c>
      <c r="K358" t="s">
        <v>590</v>
      </c>
    </row>
    <row r="359" spans="2:12" x14ac:dyDescent="0.3">
      <c r="B359" s="29" t="s">
        <v>567</v>
      </c>
      <c r="C359" s="9" t="s">
        <v>29</v>
      </c>
      <c r="E359" t="s">
        <v>446</v>
      </c>
      <c r="F359" s="4">
        <v>0.14134476481481481</v>
      </c>
      <c r="G359" s="1">
        <f>F359</f>
        <v>0.14134476481481481</v>
      </c>
      <c r="I359" s="13" t="s">
        <v>66</v>
      </c>
      <c r="J359" t="s">
        <v>591</v>
      </c>
    </row>
    <row r="360" spans="2:12" x14ac:dyDescent="0.3">
      <c r="B360" s="29" t="s">
        <v>567</v>
      </c>
      <c r="C360" s="9" t="s">
        <v>33</v>
      </c>
      <c r="D360" s="4">
        <v>19.899999999999999</v>
      </c>
      <c r="E360" t="s">
        <v>592</v>
      </c>
      <c r="F360" s="4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593</v>
      </c>
    </row>
    <row r="361" spans="2:12" x14ac:dyDescent="0.3">
      <c r="B361" s="29" t="s">
        <v>567</v>
      </c>
      <c r="C361" s="9" t="s">
        <v>1327</v>
      </c>
      <c r="D361" s="4" t="s">
        <v>594</v>
      </c>
      <c r="E361" s="4" t="s">
        <v>595</v>
      </c>
      <c r="F361" s="4">
        <v>0.20533333333333334</v>
      </c>
      <c r="I361" t="s">
        <v>596</v>
      </c>
    </row>
    <row r="362" spans="2:12" x14ac:dyDescent="0.3">
      <c r="B362" s="29" t="s">
        <v>567</v>
      </c>
      <c r="C362" t="s">
        <v>47</v>
      </c>
      <c r="E362" t="s">
        <v>446</v>
      </c>
      <c r="F362" s="4">
        <v>9.0752428148148157E-2</v>
      </c>
      <c r="G362" s="1">
        <f t="shared" ref="G362:G367" si="9">F362</f>
        <v>9.0752428148148157E-2</v>
      </c>
      <c r="I362" s="13" t="s">
        <v>66</v>
      </c>
      <c r="J362" t="s">
        <v>597</v>
      </c>
    </row>
    <row r="363" spans="2:12" x14ac:dyDescent="0.3">
      <c r="B363" s="29" t="s">
        <v>567</v>
      </c>
      <c r="C363" t="s">
        <v>64</v>
      </c>
      <c r="E363" t="s">
        <v>446</v>
      </c>
      <c r="F363" s="4">
        <v>0.10889596666666666</v>
      </c>
      <c r="G363" s="1">
        <f t="shared" si="9"/>
        <v>0.10889596666666666</v>
      </c>
      <c r="I363" s="13" t="s">
        <v>66</v>
      </c>
      <c r="J363" t="s">
        <v>598</v>
      </c>
    </row>
    <row r="364" spans="2:12" x14ac:dyDescent="0.3">
      <c r="B364" s="29" t="s">
        <v>567</v>
      </c>
      <c r="C364" s="9" t="s">
        <v>67</v>
      </c>
      <c r="D364" s="4">
        <v>8.3314144093567272E-2</v>
      </c>
      <c r="E364" t="s">
        <v>446</v>
      </c>
      <c r="F364" s="4">
        <v>4.1657072046783636E-2</v>
      </c>
      <c r="G364" s="1">
        <f t="shared" si="9"/>
        <v>4.1657072046783636E-2</v>
      </c>
      <c r="I364" s="13" t="s">
        <v>66</v>
      </c>
    </row>
    <row r="365" spans="2:12" x14ac:dyDescent="0.3">
      <c r="B365" s="29" t="s">
        <v>567</v>
      </c>
      <c r="C365" s="9" t="s">
        <v>79</v>
      </c>
      <c r="E365" t="s">
        <v>446</v>
      </c>
      <c r="F365" s="4">
        <v>8.292392425306043E-3</v>
      </c>
      <c r="G365" s="1">
        <f t="shared" si="9"/>
        <v>8.292392425306043E-3</v>
      </c>
      <c r="I365" s="13" t="s">
        <v>66</v>
      </c>
    </row>
    <row r="366" spans="2:12" x14ac:dyDescent="0.3">
      <c r="B366" s="29" t="s">
        <v>567</v>
      </c>
      <c r="C366" s="9" t="s">
        <v>83</v>
      </c>
      <c r="E366" t="s">
        <v>446</v>
      </c>
      <c r="F366" s="4">
        <v>2.0513516527777779E-2</v>
      </c>
      <c r="G366" s="1">
        <f t="shared" si="9"/>
        <v>2.0513516527777779E-2</v>
      </c>
      <c r="I366" s="13" t="s">
        <v>66</v>
      </c>
    </row>
    <row r="367" spans="2:12" x14ac:dyDescent="0.3">
      <c r="B367" s="29" t="s">
        <v>567</v>
      </c>
      <c r="C367" s="9" t="s">
        <v>87</v>
      </c>
      <c r="E367" t="s">
        <v>446</v>
      </c>
      <c r="F367" s="4">
        <v>7.0623067668849904E-2</v>
      </c>
      <c r="G367" s="1">
        <f t="shared" si="9"/>
        <v>7.0623067668849904E-2</v>
      </c>
      <c r="I367" s="13" t="s">
        <v>66</v>
      </c>
    </row>
    <row r="368" spans="2:12" x14ac:dyDescent="0.3">
      <c r="B368" s="29" t="s">
        <v>567</v>
      </c>
      <c r="C368" s="9" t="s">
        <v>101</v>
      </c>
      <c r="D368" s="4">
        <v>19.399999999999999</v>
      </c>
      <c r="E368" t="s">
        <v>599</v>
      </c>
      <c r="F368" s="4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600</v>
      </c>
    </row>
    <row r="369" spans="2:11" x14ac:dyDescent="0.3">
      <c r="B369" s="29" t="s">
        <v>567</v>
      </c>
      <c r="C369" s="9" t="s">
        <v>1327</v>
      </c>
      <c r="D369" s="4">
        <v>36.5</v>
      </c>
      <c r="E369" t="s">
        <v>599</v>
      </c>
      <c r="F369" s="4">
        <v>0.36499999999999999</v>
      </c>
      <c r="I369" t="s">
        <v>601</v>
      </c>
      <c r="J369" t="s">
        <v>602</v>
      </c>
    </row>
    <row r="370" spans="2:11" x14ac:dyDescent="0.3">
      <c r="B370" s="29" t="s">
        <v>567</v>
      </c>
      <c r="C370" s="9" t="s">
        <v>1327</v>
      </c>
      <c r="D370" s="4">
        <v>54.6</v>
      </c>
      <c r="E370" t="s">
        <v>603</v>
      </c>
      <c r="F370" s="4">
        <v>0.15102341981999998</v>
      </c>
      <c r="I370" t="s">
        <v>604</v>
      </c>
      <c r="J370" t="s">
        <v>605</v>
      </c>
      <c r="K370" t="s">
        <v>606</v>
      </c>
    </row>
    <row r="371" spans="2:11" x14ac:dyDescent="0.3">
      <c r="B371" s="29" t="s">
        <v>567</v>
      </c>
      <c r="C371" s="9" t="s">
        <v>1327</v>
      </c>
      <c r="D371" s="4">
        <v>22.8</v>
      </c>
      <c r="E371" t="s">
        <v>599</v>
      </c>
      <c r="F371" s="4">
        <v>0.22800000000000001</v>
      </c>
      <c r="I371" t="s">
        <v>607</v>
      </c>
      <c r="J371" t="s">
        <v>608</v>
      </c>
    </row>
    <row r="372" spans="2:11" x14ac:dyDescent="0.3">
      <c r="B372" s="29" t="s">
        <v>567</v>
      </c>
      <c r="C372" s="9" t="s">
        <v>1327</v>
      </c>
      <c r="D372" s="4">
        <v>60.5</v>
      </c>
      <c r="E372" t="s">
        <v>609</v>
      </c>
      <c r="F372" s="4">
        <v>0.25269861996911386</v>
      </c>
      <c r="I372" t="s">
        <v>610</v>
      </c>
      <c r="J372" t="s">
        <v>611</v>
      </c>
      <c r="K372" t="s">
        <v>612</v>
      </c>
    </row>
    <row r="373" spans="2:11" x14ac:dyDescent="0.3">
      <c r="B373" s="29" t="s">
        <v>567</v>
      </c>
      <c r="C373" s="9" t="s">
        <v>115</v>
      </c>
      <c r="D373" s="4" t="s">
        <v>613</v>
      </c>
      <c r="E373" t="s">
        <v>614</v>
      </c>
      <c r="F373" s="4">
        <v>0.27925</v>
      </c>
      <c r="G373" s="1">
        <f>AVERAGE(F373:F373)</f>
        <v>0.27925</v>
      </c>
      <c r="H373">
        <f>_xlfn.STDEV.P(F373:F373)</f>
        <v>0</v>
      </c>
      <c r="I373" t="s">
        <v>615</v>
      </c>
    </row>
    <row r="374" spans="2:11" x14ac:dyDescent="0.3">
      <c r="B374" s="29" t="s">
        <v>567</v>
      </c>
      <c r="C374" t="s">
        <v>129</v>
      </c>
      <c r="D374"/>
      <c r="E374" t="s">
        <v>446</v>
      </c>
      <c r="F374" s="4">
        <v>4.5737930618497076E-2</v>
      </c>
      <c r="G374" s="1">
        <f t="shared" ref="G374:G375" si="10">F374</f>
        <v>4.5737930618497076E-2</v>
      </c>
      <c r="I374" s="13" t="s">
        <v>66</v>
      </c>
      <c r="J374" t="s">
        <v>616</v>
      </c>
    </row>
    <row r="375" spans="2:11" x14ac:dyDescent="0.3">
      <c r="B375" s="29" t="s">
        <v>567</v>
      </c>
      <c r="C375" t="s">
        <v>148</v>
      </c>
      <c r="D375"/>
      <c r="E375" t="s">
        <v>446</v>
      </c>
      <c r="F375" s="4">
        <v>0.11500913675177601</v>
      </c>
      <c r="G375" s="1">
        <f t="shared" si="10"/>
        <v>0.11500913675177601</v>
      </c>
      <c r="I375" s="13" t="s">
        <v>66</v>
      </c>
      <c r="J375" s="10" t="s">
        <v>617</v>
      </c>
    </row>
    <row r="376" spans="2:11" x14ac:dyDescent="0.3">
      <c r="B376" s="29" t="s">
        <v>567</v>
      </c>
      <c r="C376" s="9" t="s">
        <v>164</v>
      </c>
      <c r="D376" s="4" t="s">
        <v>618</v>
      </c>
      <c r="E376" t="s">
        <v>619</v>
      </c>
      <c r="F376" s="4">
        <v>2.2140075692982451E-2</v>
      </c>
      <c r="G376" s="1">
        <f>F376</f>
        <v>2.2140075692982451E-2</v>
      </c>
      <c r="H376">
        <v>0</v>
      </c>
      <c r="I376" t="s">
        <v>620</v>
      </c>
    </row>
    <row r="377" spans="2:11" x14ac:dyDescent="0.3">
      <c r="B377" s="29" t="s">
        <v>567</v>
      </c>
      <c r="C377" s="9" t="s">
        <v>181</v>
      </c>
      <c r="D377" s="4">
        <v>0.43072088888888888</v>
      </c>
      <c r="E377" t="s">
        <v>446</v>
      </c>
      <c r="F377" s="4">
        <v>0.21536044444444444</v>
      </c>
      <c r="G377" s="1">
        <f>F377</f>
        <v>0.21536044444444444</v>
      </c>
      <c r="I377" s="13" t="s">
        <v>66</v>
      </c>
    </row>
    <row r="378" spans="2:11" x14ac:dyDescent="0.3">
      <c r="B378" s="29" t="s">
        <v>567</v>
      </c>
      <c r="C378" s="9" t="s">
        <v>192</v>
      </c>
      <c r="D378" s="4">
        <v>0.11799999999999999</v>
      </c>
      <c r="E378" t="s">
        <v>621</v>
      </c>
      <c r="F378" s="4">
        <v>0.10561</v>
      </c>
      <c r="G378" s="1">
        <f>AVERAGE(F378:F381)</f>
        <v>0.10671759463944629</v>
      </c>
      <c r="I378" t="s">
        <v>622</v>
      </c>
      <c r="J378" t="s">
        <v>623</v>
      </c>
    </row>
    <row r="379" spans="2:11" x14ac:dyDescent="0.3">
      <c r="B379" s="29" t="s">
        <v>567</v>
      </c>
      <c r="C379" s="9" t="s">
        <v>1327</v>
      </c>
      <c r="D379" s="4" t="s">
        <v>624</v>
      </c>
      <c r="E379" t="s">
        <v>625</v>
      </c>
      <c r="F379" s="4">
        <v>5.7476762186666662E-2</v>
      </c>
      <c r="I379" t="s">
        <v>626</v>
      </c>
    </row>
    <row r="380" spans="2:11" x14ac:dyDescent="0.3">
      <c r="B380" s="29" t="s">
        <v>567</v>
      </c>
      <c r="C380" s="7" t="s">
        <v>1327</v>
      </c>
      <c r="D380" s="4" t="s">
        <v>627</v>
      </c>
      <c r="E380" t="s">
        <v>628</v>
      </c>
      <c r="F380" s="4">
        <v>0.14636222371220348</v>
      </c>
      <c r="I380" t="s">
        <v>629</v>
      </c>
    </row>
    <row r="381" spans="2:11" x14ac:dyDescent="0.3">
      <c r="B381" s="29" t="s">
        <v>567</v>
      </c>
      <c r="C381" s="9" t="s">
        <v>1327</v>
      </c>
      <c r="D381" s="4" t="s">
        <v>630</v>
      </c>
      <c r="E381" t="s">
        <v>631</v>
      </c>
      <c r="F381" s="4">
        <v>0.11742139265891498</v>
      </c>
      <c r="I381" t="s">
        <v>616</v>
      </c>
    </row>
    <row r="382" spans="2:11" x14ac:dyDescent="0.3">
      <c r="B382" s="29" t="s">
        <v>567</v>
      </c>
      <c r="C382" s="17" t="s">
        <v>204</v>
      </c>
      <c r="D382" s="4">
        <v>0.10324901958791424</v>
      </c>
      <c r="E382" t="s">
        <v>446</v>
      </c>
      <c r="F382" s="4">
        <v>5.1624509793957121E-2</v>
      </c>
      <c r="G382" s="1">
        <f>F382</f>
        <v>5.1624509793957121E-2</v>
      </c>
      <c r="I382" s="13" t="s">
        <v>66</v>
      </c>
    </row>
    <row r="383" spans="2:11" x14ac:dyDescent="0.3">
      <c r="B383" s="29" t="s">
        <v>567</v>
      </c>
      <c r="C383" s="17" t="s">
        <v>217</v>
      </c>
      <c r="D383" s="4">
        <v>7.2652275008853809E-2</v>
      </c>
      <c r="E383" t="s">
        <v>446</v>
      </c>
      <c r="F383" s="4">
        <v>3.6326137504426904E-2</v>
      </c>
      <c r="G383" s="1">
        <f>F383</f>
        <v>3.6326137504426904E-2</v>
      </c>
      <c r="I383" s="13" t="s">
        <v>66</v>
      </c>
    </row>
    <row r="384" spans="2:11" ht="12" customHeight="1" x14ac:dyDescent="0.3">
      <c r="B384" s="29" t="s">
        <v>567</v>
      </c>
      <c r="C384" s="17" t="s">
        <v>230</v>
      </c>
      <c r="D384" s="4">
        <v>0.29771844666666669</v>
      </c>
      <c r="E384" t="s">
        <v>446</v>
      </c>
      <c r="F384" s="4">
        <v>0.14885922333333335</v>
      </c>
      <c r="G384" s="1">
        <f>F384</f>
        <v>0.14885922333333335</v>
      </c>
      <c r="I384" s="13" t="s">
        <v>66</v>
      </c>
    </row>
    <row r="385" spans="1:28" x14ac:dyDescent="0.3">
      <c r="B385" s="29" t="s">
        <v>567</v>
      </c>
      <c r="C385" s="17" t="s">
        <v>241</v>
      </c>
      <c r="D385" s="4">
        <v>4.5801572280701766E-2</v>
      </c>
      <c r="E385" t="s">
        <v>446</v>
      </c>
      <c r="F385" s="4">
        <v>2.2900786140350883E-2</v>
      </c>
      <c r="G385" s="1">
        <f>F385</f>
        <v>2.2900786140350883E-2</v>
      </c>
      <c r="I385" s="13" t="s">
        <v>66</v>
      </c>
    </row>
    <row r="386" spans="1:28" x14ac:dyDescent="0.3">
      <c r="B386" s="29" t="s">
        <v>567</v>
      </c>
      <c r="C386" s="17" t="s">
        <v>256</v>
      </c>
      <c r="D386" s="4">
        <v>46.93</v>
      </c>
      <c r="E386" t="s">
        <v>632</v>
      </c>
      <c r="F386" s="4">
        <v>4.6939999999999996E-2</v>
      </c>
      <c r="G386" s="1">
        <f>AVERAGE(F386:F387)</f>
        <v>3.8212467999999999E-2</v>
      </c>
      <c r="I386" s="13" t="s">
        <v>633</v>
      </c>
    </row>
    <row r="387" spans="1:28" x14ac:dyDescent="0.3">
      <c r="B387" s="29" t="s">
        <v>567</v>
      </c>
      <c r="C387" s="17" t="s">
        <v>1327</v>
      </c>
      <c r="D387" s="4">
        <v>86.7</v>
      </c>
      <c r="E387" t="s">
        <v>634</v>
      </c>
      <c r="F387" s="4">
        <v>2.9484935999999996E-2</v>
      </c>
      <c r="I387" s="13" t="s">
        <v>635</v>
      </c>
    </row>
    <row r="388" spans="1:28" x14ac:dyDescent="0.3">
      <c r="B388" s="29" t="s">
        <v>567</v>
      </c>
      <c r="C388" s="17" t="s">
        <v>264</v>
      </c>
      <c r="D388" s="4">
        <v>8.5295898947368443E-2</v>
      </c>
      <c r="E388" t="s">
        <v>446</v>
      </c>
      <c r="F388" s="4">
        <v>4.2647949473684221E-2</v>
      </c>
      <c r="G388" s="1">
        <f>F388</f>
        <v>4.2647949473684221E-2</v>
      </c>
      <c r="I388" s="13" t="s">
        <v>66</v>
      </c>
    </row>
    <row r="389" spans="1:28" x14ac:dyDescent="0.3">
      <c r="B389" s="29" t="s">
        <v>567</v>
      </c>
      <c r="C389" s="17" t="s">
        <v>277</v>
      </c>
      <c r="D389" s="4">
        <v>0.13285771074074074</v>
      </c>
      <c r="E389" t="s">
        <v>446</v>
      </c>
      <c r="F389" s="4">
        <v>6.6428855370370368E-2</v>
      </c>
      <c r="G389" s="1">
        <f>F389</f>
        <v>6.6428855370370368E-2</v>
      </c>
      <c r="I389" s="13" t="s">
        <v>66</v>
      </c>
    </row>
    <row r="390" spans="1:28" x14ac:dyDescent="0.3">
      <c r="B390" s="29" t="s">
        <v>567</v>
      </c>
      <c r="C390" s="17" t="s">
        <v>290</v>
      </c>
      <c r="D390" s="4">
        <v>6.1125511334637041E-2</v>
      </c>
      <c r="E390" t="s">
        <v>446</v>
      </c>
      <c r="F390" s="4">
        <v>3.056275566731852E-2</v>
      </c>
      <c r="G390" s="1">
        <f>F390</f>
        <v>3.056275566731852E-2</v>
      </c>
      <c r="I390" s="13" t="s">
        <v>66</v>
      </c>
    </row>
    <row r="391" spans="1:28" ht="12" customHeight="1" x14ac:dyDescent="0.3">
      <c r="B391" s="29" t="s">
        <v>567</v>
      </c>
      <c r="C391" s="17" t="s">
        <v>296</v>
      </c>
      <c r="D391" s="4">
        <v>0.11135387579206128</v>
      </c>
      <c r="E391" t="s">
        <v>446</v>
      </c>
      <c r="F391" s="4">
        <v>5.5676937896030641E-2</v>
      </c>
      <c r="G391" s="1">
        <f>F391</f>
        <v>5.5676937896030641E-2</v>
      </c>
      <c r="I391" s="13" t="s">
        <v>66</v>
      </c>
    </row>
    <row r="392" spans="1:28" x14ac:dyDescent="0.3">
      <c r="B392" s="29" t="s">
        <v>567</v>
      </c>
      <c r="C392" s="17" t="s">
        <v>310</v>
      </c>
      <c r="D392" s="4">
        <v>0.10577941597532427</v>
      </c>
      <c r="E392" t="s">
        <v>446</v>
      </c>
      <c r="F392" s="4">
        <v>5.2889707987662134E-2</v>
      </c>
      <c r="G392" s="1">
        <f>F392</f>
        <v>5.2889707987662134E-2</v>
      </c>
      <c r="I392" s="13" t="s">
        <v>66</v>
      </c>
    </row>
    <row r="393" spans="1:28" x14ac:dyDescent="0.3">
      <c r="B393" s="29" t="s">
        <v>567</v>
      </c>
      <c r="C393" s="17" t="s">
        <v>311</v>
      </c>
      <c r="D393" s="4">
        <v>0.37353519836861598</v>
      </c>
      <c r="E393" t="s">
        <v>446</v>
      </c>
      <c r="F393" s="4">
        <v>0.18676759918430799</v>
      </c>
      <c r="G393" s="1">
        <f t="shared" ref="G393:G396" si="11">F393</f>
        <v>0.18676759918430799</v>
      </c>
      <c r="I393" s="13" t="s">
        <v>66</v>
      </c>
    </row>
    <row r="394" spans="1:28" x14ac:dyDescent="0.3">
      <c r="B394" s="29" t="s">
        <v>567</v>
      </c>
      <c r="C394" s="17" t="s">
        <v>324</v>
      </c>
      <c r="D394" s="4">
        <v>0.15517187124035087</v>
      </c>
      <c r="E394" t="s">
        <v>446</v>
      </c>
      <c r="F394" s="4">
        <v>7.7585935620175434E-2</v>
      </c>
      <c r="G394" s="1">
        <f t="shared" si="11"/>
        <v>7.7585935620175434E-2</v>
      </c>
      <c r="I394" s="13" t="s">
        <v>66</v>
      </c>
    </row>
    <row r="395" spans="1:28" x14ac:dyDescent="0.3">
      <c r="A395" s="14"/>
      <c r="B395" s="29" t="s">
        <v>567</v>
      </c>
      <c r="C395" t="s">
        <v>333</v>
      </c>
      <c r="E395" t="s">
        <v>446</v>
      </c>
      <c r="F395" s="4">
        <v>1.4067900000000001E-2</v>
      </c>
      <c r="G395" s="1">
        <f t="shared" si="11"/>
        <v>1.4067900000000001E-2</v>
      </c>
      <c r="I395" s="13" t="s">
        <v>66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spans="1:28" x14ac:dyDescent="0.3">
      <c r="A396" s="14"/>
      <c r="B396" s="29" t="s">
        <v>567</v>
      </c>
      <c r="C396" t="s">
        <v>340</v>
      </c>
      <c r="E396" t="s">
        <v>446</v>
      </c>
      <c r="F396" s="4">
        <v>4.0347750320370371E-2</v>
      </c>
      <c r="G396" s="1">
        <f t="shared" si="11"/>
        <v>4.0347750320370371E-2</v>
      </c>
      <c r="I396" s="13" t="s">
        <v>66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spans="1:28" x14ac:dyDescent="0.3">
      <c r="B397" s="30" t="s">
        <v>636</v>
      </c>
      <c r="C397" s="9" t="s">
        <v>10</v>
      </c>
      <c r="D397" s="4" t="s">
        <v>637</v>
      </c>
      <c r="E397" t="s">
        <v>638</v>
      </c>
      <c r="F397" s="4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639</v>
      </c>
    </row>
    <row r="398" spans="1:28" ht="12" customHeight="1" x14ac:dyDescent="0.3">
      <c r="B398" s="30" t="s">
        <v>636</v>
      </c>
      <c r="C398" s="9" t="s">
        <v>1327</v>
      </c>
      <c r="D398" s="4" t="s">
        <v>640</v>
      </c>
      <c r="E398" t="s">
        <v>641</v>
      </c>
      <c r="F398" s="4">
        <v>0.6408571428571429</v>
      </c>
      <c r="I398" t="s">
        <v>642</v>
      </c>
    </row>
    <row r="399" spans="1:28" x14ac:dyDescent="0.3">
      <c r="B399" s="30" t="s">
        <v>636</v>
      </c>
      <c r="C399" s="9" t="s">
        <v>1327</v>
      </c>
      <c r="D399" s="4" t="s">
        <v>643</v>
      </c>
      <c r="E399" t="s">
        <v>644</v>
      </c>
      <c r="F399" s="4">
        <v>0.63666666666666671</v>
      </c>
      <c r="I399" t="s">
        <v>642</v>
      </c>
      <c r="J399" t="s">
        <v>645</v>
      </c>
    </row>
    <row r="400" spans="1:28" x14ac:dyDescent="0.3">
      <c r="B400" s="30" t="s">
        <v>636</v>
      </c>
      <c r="C400" s="9"/>
      <c r="D400" s="4">
        <v>694</v>
      </c>
      <c r="E400" t="s">
        <v>646</v>
      </c>
      <c r="F400" s="4">
        <v>0.69399999999999995</v>
      </c>
      <c r="I400" t="s">
        <v>639</v>
      </c>
      <c r="J400" t="s">
        <v>647</v>
      </c>
      <c r="K400" t="s">
        <v>648</v>
      </c>
    </row>
    <row r="401" spans="2:11" x14ac:dyDescent="0.3">
      <c r="B401" s="30" t="s">
        <v>636</v>
      </c>
      <c r="C401" t="s">
        <v>24</v>
      </c>
      <c r="D401" s="4">
        <v>0.12687777777777776</v>
      </c>
      <c r="E401" t="s">
        <v>446</v>
      </c>
      <c r="F401" s="4">
        <v>6.3438888888888878E-2</v>
      </c>
      <c r="G401" s="1">
        <f>F401</f>
        <v>6.3438888888888878E-2</v>
      </c>
      <c r="I401" s="13" t="s">
        <v>66</v>
      </c>
      <c r="J401" t="s">
        <v>649</v>
      </c>
      <c r="K401" t="s">
        <v>648</v>
      </c>
    </row>
    <row r="402" spans="2:11" x14ac:dyDescent="0.3">
      <c r="B402" s="30" t="s">
        <v>636</v>
      </c>
      <c r="C402" t="s">
        <v>29</v>
      </c>
      <c r="D402" s="4">
        <v>0.53014222222222229</v>
      </c>
      <c r="E402" t="s">
        <v>446</v>
      </c>
      <c r="F402" s="4">
        <v>0.26507111111111115</v>
      </c>
      <c r="G402" s="1">
        <f>F402</f>
        <v>0.26507111111111115</v>
      </c>
      <c r="I402" s="13" t="s">
        <v>66</v>
      </c>
      <c r="J402" t="s">
        <v>645</v>
      </c>
    </row>
    <row r="403" spans="2:11" x14ac:dyDescent="0.3">
      <c r="B403" s="30" t="s">
        <v>636</v>
      </c>
      <c r="C403" s="9" t="s">
        <v>33</v>
      </c>
      <c r="D403" s="4" t="s">
        <v>650</v>
      </c>
      <c r="E403" t="s">
        <v>651</v>
      </c>
      <c r="F403" s="4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652</v>
      </c>
    </row>
    <row r="404" spans="2:11" x14ac:dyDescent="0.3">
      <c r="B404" s="30" t="s">
        <v>636</v>
      </c>
      <c r="C404" s="9" t="s">
        <v>1327</v>
      </c>
      <c r="D404" s="4" t="s">
        <v>653</v>
      </c>
      <c r="E404" t="s">
        <v>654</v>
      </c>
      <c r="F404" s="4">
        <v>0.26187366666666667</v>
      </c>
      <c r="I404" t="s">
        <v>655</v>
      </c>
    </row>
    <row r="405" spans="2:11" x14ac:dyDescent="0.3">
      <c r="B405" s="30" t="s">
        <v>636</v>
      </c>
      <c r="C405" s="9" t="s">
        <v>1327</v>
      </c>
      <c r="D405" s="4" t="s">
        <v>656</v>
      </c>
      <c r="E405" t="s">
        <v>59</v>
      </c>
      <c r="F405" s="4">
        <v>0.52687920083333328</v>
      </c>
      <c r="I405" t="s">
        <v>657</v>
      </c>
      <c r="K405" t="s">
        <v>658</v>
      </c>
    </row>
    <row r="406" spans="2:11" x14ac:dyDescent="0.3">
      <c r="B406" s="30" t="s">
        <v>636</v>
      </c>
      <c r="C406" s="9" t="s">
        <v>1327</v>
      </c>
      <c r="D406" s="4" t="s">
        <v>659</v>
      </c>
      <c r="E406" t="s">
        <v>660</v>
      </c>
      <c r="F406" s="4">
        <v>0.52981390476190471</v>
      </c>
      <c r="I406" t="s">
        <v>661</v>
      </c>
    </row>
    <row r="407" spans="2:11" x14ac:dyDescent="0.3">
      <c r="B407" s="30" t="s">
        <v>636</v>
      </c>
      <c r="C407" s="9" t="s">
        <v>47</v>
      </c>
      <c r="D407" s="4">
        <v>0.18</v>
      </c>
      <c r="E407" t="s">
        <v>662</v>
      </c>
      <c r="F407" s="4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663</v>
      </c>
      <c r="J407" t="s">
        <v>664</v>
      </c>
    </row>
    <row r="408" spans="2:11" x14ac:dyDescent="0.3">
      <c r="B408" s="30" t="s">
        <v>636</v>
      </c>
      <c r="C408" s="9" t="s">
        <v>1327</v>
      </c>
      <c r="D408" s="4" t="s">
        <v>665</v>
      </c>
      <c r="E408" t="s">
        <v>666</v>
      </c>
      <c r="F408" s="4">
        <v>0.3019081481481482</v>
      </c>
      <c r="I408" t="s">
        <v>667</v>
      </c>
      <c r="J408" t="s">
        <v>668</v>
      </c>
    </row>
    <row r="409" spans="2:11" x14ac:dyDescent="0.3">
      <c r="B409" s="30" t="s">
        <v>636</v>
      </c>
      <c r="C409" s="9" t="s">
        <v>1327</v>
      </c>
      <c r="D409" s="4">
        <v>36</v>
      </c>
      <c r="E409" t="s">
        <v>669</v>
      </c>
      <c r="F409" s="4">
        <v>0.36</v>
      </c>
      <c r="I409" t="s">
        <v>670</v>
      </c>
    </row>
    <row r="410" spans="2:11" x14ac:dyDescent="0.3">
      <c r="B410" s="30" t="s">
        <v>636</v>
      </c>
      <c r="C410" s="9" t="s">
        <v>1327</v>
      </c>
      <c r="D410" s="4">
        <v>46.3</v>
      </c>
      <c r="E410" t="s">
        <v>669</v>
      </c>
      <c r="F410" s="4">
        <v>0.46299999999999997</v>
      </c>
      <c r="I410" t="s">
        <v>671</v>
      </c>
      <c r="J410" t="s">
        <v>672</v>
      </c>
    </row>
    <row r="411" spans="2:11" x14ac:dyDescent="0.3">
      <c r="B411" s="30" t="s">
        <v>636</v>
      </c>
      <c r="C411" s="9"/>
      <c r="D411">
        <v>0.6</v>
      </c>
      <c r="E411" t="s">
        <v>41</v>
      </c>
      <c r="F411" s="4">
        <v>0.20901333333333336</v>
      </c>
      <c r="I411" t="s">
        <v>673</v>
      </c>
      <c r="J411" t="s">
        <v>674</v>
      </c>
    </row>
    <row r="412" spans="2:11" x14ac:dyDescent="0.3">
      <c r="B412" s="30" t="s">
        <v>636</v>
      </c>
      <c r="C412" t="s">
        <v>64</v>
      </c>
      <c r="E412" t="s">
        <v>446</v>
      </c>
      <c r="F412" s="4">
        <v>0.15884000000000001</v>
      </c>
      <c r="G412" s="1">
        <f>F412</f>
        <v>0.15884000000000001</v>
      </c>
      <c r="I412" s="13" t="s">
        <v>66</v>
      </c>
      <c r="J412" t="s">
        <v>675</v>
      </c>
    </row>
    <row r="413" spans="2:11" x14ac:dyDescent="0.3">
      <c r="B413" s="30" t="s">
        <v>636</v>
      </c>
      <c r="C413" s="9" t="s">
        <v>67</v>
      </c>
      <c r="D413" s="4">
        <v>0.12</v>
      </c>
      <c r="E413" t="s">
        <v>676</v>
      </c>
      <c r="F413" s="4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677</v>
      </c>
      <c r="J413" t="s">
        <v>678</v>
      </c>
    </row>
    <row r="414" spans="2:11" x14ac:dyDescent="0.3">
      <c r="B414" s="30" t="s">
        <v>636</v>
      </c>
      <c r="C414" s="9" t="s">
        <v>1327</v>
      </c>
      <c r="D414" t="s">
        <v>679</v>
      </c>
      <c r="E414" t="s">
        <v>680</v>
      </c>
      <c r="F414" s="4">
        <v>6.8691719298245635E-2</v>
      </c>
      <c r="I414" t="s">
        <v>681</v>
      </c>
    </row>
    <row r="415" spans="2:11" x14ac:dyDescent="0.3">
      <c r="B415" s="30" t="s">
        <v>636</v>
      </c>
      <c r="C415" s="9" t="s">
        <v>1327</v>
      </c>
      <c r="D415" s="4">
        <v>88</v>
      </c>
      <c r="E415" t="s">
        <v>682</v>
      </c>
      <c r="F415" s="4">
        <v>0.13738343859649127</v>
      </c>
      <c r="I415" t="s">
        <v>683</v>
      </c>
      <c r="J415" t="s">
        <v>684</v>
      </c>
    </row>
    <row r="416" spans="2:11" x14ac:dyDescent="0.3">
      <c r="B416" s="30" t="s">
        <v>636</v>
      </c>
      <c r="C416" s="9" t="s">
        <v>1327</v>
      </c>
      <c r="D416" s="4" t="s">
        <v>685</v>
      </c>
      <c r="E416" t="s">
        <v>686</v>
      </c>
      <c r="F416" s="4">
        <v>0.12926532631578946</v>
      </c>
      <c r="I416" t="s">
        <v>687</v>
      </c>
      <c r="J416" t="s">
        <v>688</v>
      </c>
    </row>
    <row r="417" spans="2:11" x14ac:dyDescent="0.3">
      <c r="B417" s="30" t="s">
        <v>636</v>
      </c>
      <c r="C417" s="9" t="s">
        <v>1327</v>
      </c>
      <c r="D417" s="4">
        <v>103.8</v>
      </c>
      <c r="E417" t="s">
        <v>689</v>
      </c>
      <c r="F417" s="4">
        <v>0.12153750789473686</v>
      </c>
      <c r="I417" t="s">
        <v>690</v>
      </c>
      <c r="J417" t="s">
        <v>691</v>
      </c>
    </row>
    <row r="418" spans="2:11" x14ac:dyDescent="0.3">
      <c r="B418" s="30" t="s">
        <v>636</v>
      </c>
      <c r="C418" s="9" t="s">
        <v>79</v>
      </c>
      <c r="D418" s="4">
        <v>8.5295898947368443E-2</v>
      </c>
      <c r="E418" t="s">
        <v>446</v>
      </c>
      <c r="F418" s="4">
        <v>4.2647949473684221E-2</v>
      </c>
      <c r="G418" s="1">
        <f>F418</f>
        <v>4.2647949473684221E-2</v>
      </c>
      <c r="I418" s="13" t="s">
        <v>66</v>
      </c>
      <c r="J418" t="s">
        <v>692</v>
      </c>
    </row>
    <row r="419" spans="2:11" x14ac:dyDescent="0.3">
      <c r="B419" s="30" t="s">
        <v>636</v>
      </c>
      <c r="C419" s="9" t="s">
        <v>83</v>
      </c>
      <c r="D419" s="4">
        <v>27</v>
      </c>
      <c r="E419" t="s">
        <v>693</v>
      </c>
      <c r="F419" s="4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694</v>
      </c>
      <c r="J419" t="s">
        <v>695</v>
      </c>
    </row>
    <row r="420" spans="2:11" x14ac:dyDescent="0.3">
      <c r="B420" s="30" t="s">
        <v>636</v>
      </c>
      <c r="C420" s="9" t="s">
        <v>1327</v>
      </c>
      <c r="D420" s="4" t="s">
        <v>696</v>
      </c>
      <c r="E420" t="s">
        <v>697</v>
      </c>
      <c r="F420" s="4">
        <v>7.6821499999999987E-3</v>
      </c>
      <c r="I420" t="s">
        <v>698</v>
      </c>
    </row>
    <row r="421" spans="2:11" x14ac:dyDescent="0.3">
      <c r="B421" s="30" t="s">
        <v>636</v>
      </c>
      <c r="C421" s="9" t="s">
        <v>87</v>
      </c>
      <c r="D421" s="4" t="s">
        <v>699</v>
      </c>
      <c r="E421" t="s">
        <v>700</v>
      </c>
      <c r="F421" s="4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701</v>
      </c>
      <c r="J421" t="s">
        <v>702</v>
      </c>
    </row>
    <row r="422" spans="2:11" ht="12" customHeight="1" x14ac:dyDescent="0.3">
      <c r="B422" s="30" t="s">
        <v>636</v>
      </c>
      <c r="C422" s="9" t="s">
        <v>1327</v>
      </c>
      <c r="D422" s="4">
        <v>0.83</v>
      </c>
      <c r="E422" t="s">
        <v>703</v>
      </c>
      <c r="F422" s="4">
        <v>0.105825</v>
      </c>
      <c r="I422" t="s">
        <v>704</v>
      </c>
      <c r="J422" t="s">
        <v>705</v>
      </c>
    </row>
    <row r="423" spans="2:11" x14ac:dyDescent="0.3">
      <c r="B423" s="30" t="s">
        <v>636</v>
      </c>
      <c r="C423" s="9" t="s">
        <v>1327</v>
      </c>
      <c r="D423" s="4" t="s">
        <v>706</v>
      </c>
      <c r="E423" t="s">
        <v>707</v>
      </c>
      <c r="F423" s="4">
        <v>0.28683248541307815</v>
      </c>
      <c r="I423" t="s">
        <v>708</v>
      </c>
      <c r="J423" t="s">
        <v>709</v>
      </c>
    </row>
    <row r="424" spans="2:11" x14ac:dyDescent="0.3">
      <c r="B424" s="30" t="s">
        <v>636</v>
      </c>
      <c r="C424" s="9" t="s">
        <v>1327</v>
      </c>
      <c r="D424" s="4" t="s">
        <v>710</v>
      </c>
      <c r="E424" t="s">
        <v>711</v>
      </c>
      <c r="F424" s="4">
        <v>0.28991670568633704</v>
      </c>
      <c r="I424" t="s">
        <v>712</v>
      </c>
      <c r="J424" t="s">
        <v>713</v>
      </c>
    </row>
    <row r="425" spans="2:11" x14ac:dyDescent="0.3">
      <c r="B425" s="30" t="s">
        <v>636</v>
      </c>
      <c r="C425" s="9" t="s">
        <v>1327</v>
      </c>
      <c r="D425" s="4">
        <v>1.1200000000000001</v>
      </c>
      <c r="E425" t="s">
        <v>714</v>
      </c>
      <c r="F425" s="4">
        <v>0.34543267060499738</v>
      </c>
      <c r="I425" t="s">
        <v>715</v>
      </c>
    </row>
    <row r="426" spans="2:11" x14ac:dyDescent="0.3">
      <c r="B426" s="30" t="s">
        <v>636</v>
      </c>
      <c r="C426" s="9" t="s">
        <v>101</v>
      </c>
      <c r="D426" s="4">
        <v>0.26</v>
      </c>
      <c r="E426" t="s">
        <v>716</v>
      </c>
      <c r="F426" s="4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717</v>
      </c>
    </row>
    <row r="427" spans="2:11" x14ac:dyDescent="0.3">
      <c r="B427" s="30" t="s">
        <v>636</v>
      </c>
      <c r="C427" s="9" t="s">
        <v>1327</v>
      </c>
      <c r="D427" s="4">
        <v>0.57999999999999996</v>
      </c>
      <c r="E427" t="s">
        <v>718</v>
      </c>
      <c r="F427" s="4">
        <v>0.52779999999999994</v>
      </c>
      <c r="I427" t="s">
        <v>719</v>
      </c>
      <c r="J427" t="s">
        <v>720</v>
      </c>
    </row>
    <row r="428" spans="2:11" x14ac:dyDescent="0.3">
      <c r="B428" s="30" t="s">
        <v>636</v>
      </c>
      <c r="C428" s="9" t="s">
        <v>1327</v>
      </c>
      <c r="D428" s="4">
        <v>0.87</v>
      </c>
      <c r="E428" t="s">
        <v>721</v>
      </c>
      <c r="F428" s="4">
        <v>0.67267776412121216</v>
      </c>
      <c r="I428" t="s">
        <v>722</v>
      </c>
      <c r="J428" t="s">
        <v>723</v>
      </c>
    </row>
    <row r="429" spans="2:11" x14ac:dyDescent="0.3">
      <c r="B429" s="30" t="s">
        <v>636</v>
      </c>
      <c r="C429" s="9" t="s">
        <v>1327</v>
      </c>
      <c r="D429" s="4" t="s">
        <v>724</v>
      </c>
      <c r="E429" t="s">
        <v>725</v>
      </c>
      <c r="F429" s="4">
        <v>0.17606000000000002</v>
      </c>
      <c r="I429" t="s">
        <v>726</v>
      </c>
      <c r="J429" t="s">
        <v>727</v>
      </c>
    </row>
    <row r="430" spans="2:11" x14ac:dyDescent="0.3">
      <c r="B430" s="30" t="s">
        <v>636</v>
      </c>
      <c r="C430" s="9" t="s">
        <v>1327</v>
      </c>
      <c r="D430" s="4">
        <v>0.93</v>
      </c>
      <c r="E430" t="s">
        <v>728</v>
      </c>
      <c r="F430" s="4">
        <v>0.71906933406060614</v>
      </c>
      <c r="I430" t="s">
        <v>729</v>
      </c>
      <c r="J430" t="s">
        <v>730</v>
      </c>
    </row>
    <row r="431" spans="2:11" x14ac:dyDescent="0.3">
      <c r="B431" s="30" t="s">
        <v>636</v>
      </c>
      <c r="C431" s="9" t="s">
        <v>115</v>
      </c>
      <c r="D431" s="4">
        <v>95</v>
      </c>
      <c r="E431" t="s">
        <v>731</v>
      </c>
      <c r="F431" s="4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732</v>
      </c>
      <c r="K431" t="s">
        <v>733</v>
      </c>
    </row>
    <row r="432" spans="2:11" x14ac:dyDescent="0.3">
      <c r="B432" s="30" t="s">
        <v>636</v>
      </c>
      <c r="C432" s="9" t="s">
        <v>1327</v>
      </c>
      <c r="D432" s="4">
        <v>78.3</v>
      </c>
      <c r="E432" t="s">
        <v>731</v>
      </c>
      <c r="F432" s="4">
        <v>0.43571889473684217</v>
      </c>
      <c r="I432" t="s">
        <v>734</v>
      </c>
      <c r="J432" t="s">
        <v>735</v>
      </c>
    </row>
    <row r="433" spans="2:10" x14ac:dyDescent="0.3">
      <c r="B433" s="30" t="s">
        <v>636</v>
      </c>
      <c r="C433" s="9" t="s">
        <v>1327</v>
      </c>
      <c r="D433" s="4">
        <v>0.89800000000000002</v>
      </c>
      <c r="E433" t="s">
        <v>736</v>
      </c>
      <c r="F433" s="4">
        <v>0.49971336842105268</v>
      </c>
      <c r="I433" t="s">
        <v>737</v>
      </c>
      <c r="J433" t="s">
        <v>738</v>
      </c>
    </row>
    <row r="434" spans="2:10" x14ac:dyDescent="0.3">
      <c r="B434" s="30" t="s">
        <v>636</v>
      </c>
      <c r="C434" s="9" t="s">
        <v>1327</v>
      </c>
      <c r="D434" s="4">
        <v>0.98</v>
      </c>
      <c r="E434" t="s">
        <v>739</v>
      </c>
      <c r="F434" s="4">
        <v>0.54534421052631576</v>
      </c>
      <c r="I434" t="s">
        <v>740</v>
      </c>
      <c r="J434" t="s">
        <v>741</v>
      </c>
    </row>
    <row r="435" spans="2:10" x14ac:dyDescent="0.3">
      <c r="B435" s="30" t="s">
        <v>636</v>
      </c>
      <c r="C435" s="9" t="s">
        <v>1327</v>
      </c>
      <c r="D435" s="4">
        <v>0.81</v>
      </c>
      <c r="E435" t="s">
        <v>742</v>
      </c>
      <c r="F435" s="4">
        <v>0.45074368421052635</v>
      </c>
      <c r="I435" t="s">
        <v>743</v>
      </c>
      <c r="J435" t="s">
        <v>744</v>
      </c>
    </row>
    <row r="436" spans="2:10" x14ac:dyDescent="0.3">
      <c r="B436" s="30" t="s">
        <v>636</v>
      </c>
      <c r="C436" t="s">
        <v>129</v>
      </c>
      <c r="E436" t="s">
        <v>446</v>
      </c>
      <c r="F436" s="4">
        <v>3.540206973333334E-2</v>
      </c>
      <c r="G436" s="1">
        <f>F436</f>
        <v>3.540206973333334E-2</v>
      </c>
      <c r="I436" s="13" t="s">
        <v>66</v>
      </c>
      <c r="J436" t="s">
        <v>745</v>
      </c>
    </row>
    <row r="437" spans="2:10" x14ac:dyDescent="0.3">
      <c r="B437" s="30" t="s">
        <v>636</v>
      </c>
      <c r="C437" s="9" t="s">
        <v>148</v>
      </c>
      <c r="D437" s="4" t="s">
        <v>746</v>
      </c>
      <c r="E437" t="s">
        <v>747</v>
      </c>
      <c r="F437" s="4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748</v>
      </c>
      <c r="J437" t="s">
        <v>749</v>
      </c>
    </row>
    <row r="438" spans="2:10" x14ac:dyDescent="0.3">
      <c r="B438" s="30" t="s">
        <v>636</v>
      </c>
      <c r="C438" s="9" t="s">
        <v>1327</v>
      </c>
      <c r="D438" s="4" t="s">
        <v>750</v>
      </c>
      <c r="E438" t="s">
        <v>751</v>
      </c>
      <c r="F438" s="4">
        <v>0.13992888938641226</v>
      </c>
      <c r="I438" t="s">
        <v>752</v>
      </c>
    </row>
    <row r="439" spans="2:10" x14ac:dyDescent="0.3">
      <c r="B439" s="30" t="s">
        <v>636</v>
      </c>
      <c r="C439" s="9" t="s">
        <v>1327</v>
      </c>
      <c r="D439" s="4" t="s">
        <v>753</v>
      </c>
      <c r="E439" t="s">
        <v>754</v>
      </c>
      <c r="F439" s="4">
        <v>0.13482540110556829</v>
      </c>
      <c r="I439" t="s">
        <v>755</v>
      </c>
      <c r="J439" t="s">
        <v>756</v>
      </c>
    </row>
    <row r="440" spans="2:10" x14ac:dyDescent="0.3">
      <c r="B440" s="30" t="s">
        <v>636</v>
      </c>
      <c r="C440" s="9" t="s">
        <v>164</v>
      </c>
      <c r="D440" s="4" t="s">
        <v>757</v>
      </c>
      <c r="E440" t="s">
        <v>711</v>
      </c>
      <c r="F440" s="4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758</v>
      </c>
      <c r="J440" t="s">
        <v>759</v>
      </c>
    </row>
    <row r="441" spans="2:10" x14ac:dyDescent="0.3">
      <c r="B441" s="30" t="s">
        <v>636</v>
      </c>
      <c r="C441" s="9" t="s">
        <v>1327</v>
      </c>
      <c r="D441" s="4">
        <f>88/89.93</f>
        <v>0.97853886356054698</v>
      </c>
      <c r="E441" t="s">
        <v>703</v>
      </c>
      <c r="F441" s="4">
        <v>0.1359748248637829</v>
      </c>
      <c r="I441" t="s">
        <v>760</v>
      </c>
      <c r="J441" t="s">
        <v>761</v>
      </c>
    </row>
    <row r="442" spans="2:10" x14ac:dyDescent="0.3">
      <c r="B442" s="30" t="s">
        <v>636</v>
      </c>
      <c r="C442" s="9" t="s">
        <v>1327</v>
      </c>
      <c r="D442">
        <f>53.61/90</f>
        <v>0.59566666666666668</v>
      </c>
      <c r="E442" t="s">
        <v>762</v>
      </c>
      <c r="F442" s="4">
        <v>0.18167457645321636</v>
      </c>
      <c r="I442" t="s">
        <v>763</v>
      </c>
      <c r="J442" t="s">
        <v>764</v>
      </c>
    </row>
    <row r="443" spans="2:10" x14ac:dyDescent="0.3">
      <c r="B443" s="30" t="s">
        <v>636</v>
      </c>
      <c r="C443" s="9" t="s">
        <v>1327</v>
      </c>
      <c r="D443" s="4" t="s">
        <v>765</v>
      </c>
      <c r="E443" t="s">
        <v>766</v>
      </c>
      <c r="F443" s="4">
        <v>0.27620991320723681</v>
      </c>
      <c r="I443" t="s">
        <v>767</v>
      </c>
      <c r="J443" t="s">
        <v>768</v>
      </c>
    </row>
    <row r="444" spans="2:10" x14ac:dyDescent="0.3">
      <c r="B444" s="30" t="s">
        <v>636</v>
      </c>
      <c r="C444" s="9" t="s">
        <v>1327</v>
      </c>
      <c r="D444" s="4">
        <f>24/150</f>
        <v>0.16</v>
      </c>
      <c r="E444" t="s">
        <v>769</v>
      </c>
      <c r="F444" s="4">
        <v>0.16</v>
      </c>
      <c r="I444" t="s">
        <v>678</v>
      </c>
      <c r="J444" t="s">
        <v>770</v>
      </c>
    </row>
    <row r="445" spans="2:10" x14ac:dyDescent="0.3">
      <c r="B445" s="30" t="s">
        <v>636</v>
      </c>
      <c r="C445" s="9" t="s">
        <v>181</v>
      </c>
      <c r="D445" s="4">
        <v>0.62826666666666664</v>
      </c>
      <c r="E445" t="s">
        <v>446</v>
      </c>
      <c r="F445" s="4">
        <v>0.31413333333333332</v>
      </c>
      <c r="G445" s="1">
        <f>F445</f>
        <v>0.31413333333333332</v>
      </c>
      <c r="I445" s="13" t="s">
        <v>66</v>
      </c>
      <c r="J445" t="s">
        <v>771</v>
      </c>
    </row>
    <row r="446" spans="2:10" x14ac:dyDescent="0.3">
      <c r="B446" s="30" t="s">
        <v>636</v>
      </c>
      <c r="C446" s="9" t="s">
        <v>192</v>
      </c>
      <c r="D446" s="4" t="s">
        <v>772</v>
      </c>
      <c r="E446" t="s">
        <v>450</v>
      </c>
      <c r="F446" s="4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773</v>
      </c>
      <c r="J446" t="s">
        <v>774</v>
      </c>
    </row>
    <row r="447" spans="2:10" x14ac:dyDescent="0.3">
      <c r="B447" s="30" t="s">
        <v>636</v>
      </c>
      <c r="C447" s="9" t="s">
        <v>1327</v>
      </c>
      <c r="D447" s="4">
        <v>6.79</v>
      </c>
      <c r="E447" t="s">
        <v>775</v>
      </c>
      <c r="F447" s="4">
        <v>6.7900000000000002E-2</v>
      </c>
      <c r="I447" t="s">
        <v>776</v>
      </c>
    </row>
    <row r="448" spans="2:10" x14ac:dyDescent="0.3">
      <c r="B448" s="30" t="s">
        <v>636</v>
      </c>
      <c r="C448" s="9" t="s">
        <v>1327</v>
      </c>
      <c r="D448" s="4">
        <v>0.83</v>
      </c>
      <c r="E448" t="s">
        <v>777</v>
      </c>
      <c r="F448" s="4">
        <v>0.39900342844444442</v>
      </c>
      <c r="I448" t="s">
        <v>778</v>
      </c>
    </row>
    <row r="449" spans="2:9" x14ac:dyDescent="0.3">
      <c r="B449" s="30" t="s">
        <v>636</v>
      </c>
      <c r="C449" s="9" t="s">
        <v>1327</v>
      </c>
      <c r="D449" s="4">
        <v>99.2</v>
      </c>
      <c r="E449" t="s">
        <v>779</v>
      </c>
      <c r="F449" s="4">
        <v>0.47688120604444439</v>
      </c>
      <c r="I449" t="s">
        <v>780</v>
      </c>
    </row>
    <row r="450" spans="2:9" x14ac:dyDescent="0.3">
      <c r="B450" s="30" t="s">
        <v>636</v>
      </c>
      <c r="C450" s="9" t="s">
        <v>1327</v>
      </c>
      <c r="D450" s="4">
        <v>0.53</v>
      </c>
      <c r="E450" t="s">
        <v>781</v>
      </c>
      <c r="F450" s="4">
        <v>0.2547853217777778</v>
      </c>
      <c r="I450" t="s">
        <v>782</v>
      </c>
    </row>
    <row r="451" spans="2:9" x14ac:dyDescent="0.3">
      <c r="B451" s="30" t="s">
        <v>636</v>
      </c>
      <c r="C451" s="17" t="s">
        <v>204</v>
      </c>
      <c r="D451" s="4" t="s">
        <v>783</v>
      </c>
      <c r="E451" t="s">
        <v>784</v>
      </c>
      <c r="F451" s="4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785</v>
      </c>
    </row>
    <row r="452" spans="2:9" x14ac:dyDescent="0.3">
      <c r="B452" s="30" t="s">
        <v>636</v>
      </c>
      <c r="C452" s="7" t="s">
        <v>1327</v>
      </c>
      <c r="D452">
        <v>68</v>
      </c>
      <c r="E452" t="s">
        <v>786</v>
      </c>
      <c r="F452">
        <v>0.11282983906432748</v>
      </c>
      <c r="I452" t="s">
        <v>787</v>
      </c>
    </row>
    <row r="453" spans="2:9" x14ac:dyDescent="0.3">
      <c r="B453" s="30" t="s">
        <v>636</v>
      </c>
      <c r="C453" s="7" t="s">
        <v>1327</v>
      </c>
      <c r="D453" s="3">
        <v>85</v>
      </c>
      <c r="E453" t="s">
        <v>786</v>
      </c>
      <c r="F453">
        <v>0.14103729883040933</v>
      </c>
      <c r="I453" t="s">
        <v>788</v>
      </c>
    </row>
    <row r="454" spans="2:9" x14ac:dyDescent="0.3">
      <c r="B454" s="30" t="s">
        <v>636</v>
      </c>
      <c r="C454" s="7" t="s">
        <v>1327</v>
      </c>
      <c r="D454" t="s">
        <v>789</v>
      </c>
      <c r="E454" t="s">
        <v>790</v>
      </c>
      <c r="F454">
        <v>0.14269656116959062</v>
      </c>
      <c r="I454" t="s">
        <v>791</v>
      </c>
    </row>
    <row r="455" spans="2:9" x14ac:dyDescent="0.3">
      <c r="B455" s="30" t="s">
        <v>636</v>
      </c>
      <c r="C455" s="9" t="s">
        <v>1327</v>
      </c>
      <c r="D455">
        <v>0.95</v>
      </c>
      <c r="E455" t="s">
        <v>792</v>
      </c>
      <c r="F455" s="4">
        <v>0.15762992222222219</v>
      </c>
      <c r="I455" t="s">
        <v>793</v>
      </c>
    </row>
    <row r="456" spans="2:9" x14ac:dyDescent="0.3">
      <c r="B456" s="30" t="s">
        <v>636</v>
      </c>
      <c r="C456" s="17" t="s">
        <v>217</v>
      </c>
      <c r="D456" t="s">
        <v>794</v>
      </c>
      <c r="E456" t="s">
        <v>795</v>
      </c>
      <c r="F456" s="4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796</v>
      </c>
    </row>
    <row r="457" spans="2:9" x14ac:dyDescent="0.3">
      <c r="B457" s="30" t="s">
        <v>636</v>
      </c>
      <c r="C457" s="9" t="s">
        <v>1327</v>
      </c>
      <c r="D457" t="s">
        <v>797</v>
      </c>
      <c r="E457" t="s">
        <v>798</v>
      </c>
      <c r="F457" s="4">
        <v>6.787220798212866E-2</v>
      </c>
      <c r="I457" t="s">
        <v>799</v>
      </c>
    </row>
    <row r="458" spans="2:9" x14ac:dyDescent="0.3">
      <c r="B458" s="30" t="s">
        <v>636</v>
      </c>
      <c r="C458" s="7" t="s">
        <v>1327</v>
      </c>
      <c r="D458" s="4">
        <v>0.4</v>
      </c>
      <c r="E458" t="s">
        <v>800</v>
      </c>
      <c r="F458" s="4">
        <v>4.8200000000000007E-2</v>
      </c>
      <c r="I458" t="s">
        <v>801</v>
      </c>
    </row>
    <row r="459" spans="2:9" x14ac:dyDescent="0.3">
      <c r="B459" s="30" t="s">
        <v>636</v>
      </c>
      <c r="C459" s="17" t="s">
        <v>230</v>
      </c>
      <c r="D459" s="4">
        <v>35.5</v>
      </c>
      <c r="E459" t="s">
        <v>802</v>
      </c>
      <c r="F459" s="4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803</v>
      </c>
    </row>
    <row r="460" spans="2:9" x14ac:dyDescent="0.3">
      <c r="B460" s="30" t="s">
        <v>636</v>
      </c>
      <c r="C460" s="17" t="s">
        <v>1327</v>
      </c>
      <c r="D460" s="4">
        <v>46.5</v>
      </c>
      <c r="E460" t="s">
        <v>802</v>
      </c>
      <c r="F460" s="4">
        <v>0.4186395</v>
      </c>
      <c r="I460" t="s">
        <v>804</v>
      </c>
    </row>
    <row r="461" spans="2:9" x14ac:dyDescent="0.3">
      <c r="B461" s="30" t="s">
        <v>636</v>
      </c>
      <c r="C461" s="17" t="s">
        <v>1327</v>
      </c>
      <c r="D461" s="4">
        <v>36.6</v>
      </c>
      <c r="E461" t="s">
        <v>802</v>
      </c>
      <c r="F461" s="4">
        <v>0.32950979999999996</v>
      </c>
      <c r="I461" t="s">
        <v>805</v>
      </c>
    </row>
    <row r="462" spans="2:9" x14ac:dyDescent="0.3">
      <c r="B462" s="30" t="s">
        <v>636</v>
      </c>
      <c r="C462" s="17" t="s">
        <v>241</v>
      </c>
      <c r="D462" s="4">
        <v>8.8468000000000005E-2</v>
      </c>
      <c r="E462" t="s">
        <v>446</v>
      </c>
      <c r="F462" s="4">
        <v>4.4234000000000002E-2</v>
      </c>
      <c r="G462" s="1">
        <f>F462</f>
        <v>4.4234000000000002E-2</v>
      </c>
      <c r="H462">
        <v>0</v>
      </c>
      <c r="I462" s="13" t="s">
        <v>66</v>
      </c>
    </row>
    <row r="463" spans="2:9" x14ac:dyDescent="0.3">
      <c r="B463" s="30" t="s">
        <v>636</v>
      </c>
      <c r="C463" s="17" t="s">
        <v>256</v>
      </c>
      <c r="D463" s="4" t="s">
        <v>806</v>
      </c>
      <c r="E463" t="s">
        <v>807</v>
      </c>
      <c r="F463" s="4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808</v>
      </c>
    </row>
    <row r="464" spans="2:9" x14ac:dyDescent="0.3">
      <c r="B464" s="30" t="s">
        <v>636</v>
      </c>
      <c r="C464" s="17" t="s">
        <v>1327</v>
      </c>
      <c r="D464" s="4">
        <v>0.88</v>
      </c>
      <c r="E464" t="s">
        <v>809</v>
      </c>
      <c r="F464" s="4">
        <v>0.13866700350877192</v>
      </c>
      <c r="I464" t="s">
        <v>810</v>
      </c>
    </row>
    <row r="465" spans="2:9" x14ac:dyDescent="0.3">
      <c r="B465" s="30" t="s">
        <v>636</v>
      </c>
      <c r="C465" s="17" t="s">
        <v>1327</v>
      </c>
      <c r="D465" s="4" t="s">
        <v>811</v>
      </c>
      <c r="E465" t="s">
        <v>450</v>
      </c>
      <c r="F465" s="4">
        <v>5.936330918518519E-2</v>
      </c>
      <c r="I465" t="s">
        <v>812</v>
      </c>
    </row>
    <row r="466" spans="2:9" x14ac:dyDescent="0.3">
      <c r="B466" s="30" t="s">
        <v>636</v>
      </c>
      <c r="C466" s="17" t="s">
        <v>1327</v>
      </c>
      <c r="D466" s="4" t="s">
        <v>813</v>
      </c>
      <c r="E466" t="s">
        <v>814</v>
      </c>
      <c r="F466" s="4">
        <v>0.1322427454790823</v>
      </c>
      <c r="I466" t="s">
        <v>815</v>
      </c>
    </row>
    <row r="467" spans="2:9" x14ac:dyDescent="0.3">
      <c r="B467" s="30" t="s">
        <v>636</v>
      </c>
      <c r="C467" s="17" t="s">
        <v>1327</v>
      </c>
      <c r="D467" s="4">
        <v>88</v>
      </c>
      <c r="E467" t="s">
        <v>816</v>
      </c>
      <c r="F467" s="4">
        <v>0.13866700350877192</v>
      </c>
      <c r="I467" t="s">
        <v>817</v>
      </c>
    </row>
    <row r="468" spans="2:9" x14ac:dyDescent="0.3">
      <c r="B468" s="30" t="s">
        <v>636</v>
      </c>
      <c r="C468" s="17" t="s">
        <v>264</v>
      </c>
      <c r="D468" s="4">
        <v>0.12441600000000003</v>
      </c>
      <c r="E468" t="s">
        <v>446</v>
      </c>
      <c r="F468" s="4">
        <v>6.2208000000000013E-2</v>
      </c>
      <c r="G468" s="1">
        <f>F468</f>
        <v>6.2208000000000013E-2</v>
      </c>
      <c r="I468" s="13" t="s">
        <v>66</v>
      </c>
    </row>
    <row r="469" spans="2:9" x14ac:dyDescent="0.3">
      <c r="B469" s="30" t="s">
        <v>636</v>
      </c>
      <c r="C469" s="17" t="s">
        <v>277</v>
      </c>
      <c r="D469" s="4" t="s">
        <v>818</v>
      </c>
      <c r="E469" t="s">
        <v>819</v>
      </c>
      <c r="F469" s="4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820</v>
      </c>
    </row>
    <row r="470" spans="2:9" x14ac:dyDescent="0.3">
      <c r="B470" s="30" t="s">
        <v>636</v>
      </c>
      <c r="C470" s="17" t="s">
        <v>1327</v>
      </c>
      <c r="D470" s="4" t="s">
        <v>821</v>
      </c>
      <c r="E470" t="s">
        <v>822</v>
      </c>
      <c r="F470" s="4">
        <v>0.39524933164983167</v>
      </c>
      <c r="I470" t="s">
        <v>823</v>
      </c>
    </row>
    <row r="471" spans="2:9" ht="12" customHeight="1" x14ac:dyDescent="0.3">
      <c r="B471" s="30" t="s">
        <v>636</v>
      </c>
      <c r="C471" s="17" t="s">
        <v>290</v>
      </c>
      <c r="D471" s="4">
        <v>9.0746435930505062E-2</v>
      </c>
      <c r="E471" t="s">
        <v>446</v>
      </c>
      <c r="F471" s="4">
        <v>4.5373217965252531E-2</v>
      </c>
      <c r="G471" s="1">
        <f>F471</f>
        <v>4.5373217965252531E-2</v>
      </c>
      <c r="I471" s="13" t="s">
        <v>66</v>
      </c>
    </row>
    <row r="472" spans="2:9" ht="12" customHeight="1" x14ac:dyDescent="0.3">
      <c r="B472" s="30" t="s">
        <v>636</v>
      </c>
      <c r="C472" s="17" t="s">
        <v>296</v>
      </c>
      <c r="D472" s="4">
        <f>0.4*1.67</f>
        <v>0.66800000000000004</v>
      </c>
      <c r="E472" t="s">
        <v>824</v>
      </c>
      <c r="F472" s="4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782</v>
      </c>
    </row>
    <row r="473" spans="2:9" x14ac:dyDescent="0.3">
      <c r="B473" s="30" t="s">
        <v>636</v>
      </c>
      <c r="C473" s="17" t="s">
        <v>1327</v>
      </c>
      <c r="D473" s="4" t="s">
        <v>825</v>
      </c>
      <c r="E473" t="s">
        <v>826</v>
      </c>
      <c r="F473" s="4">
        <v>0.16822548572949705</v>
      </c>
      <c r="I473" t="s">
        <v>827</v>
      </c>
    </row>
    <row r="474" spans="2:9" x14ac:dyDescent="0.3">
      <c r="B474" s="30" t="s">
        <v>636</v>
      </c>
      <c r="C474" s="7" t="s">
        <v>1327</v>
      </c>
      <c r="D474" s="4" t="s">
        <v>828</v>
      </c>
      <c r="E474" t="s">
        <v>816</v>
      </c>
      <c r="F474" s="4">
        <v>0.10259999999999998</v>
      </c>
      <c r="I474" t="s">
        <v>829</v>
      </c>
    </row>
    <row r="475" spans="2:9" x14ac:dyDescent="0.3">
      <c r="B475" s="30" t="s">
        <v>636</v>
      </c>
      <c r="C475" s="17" t="s">
        <v>310</v>
      </c>
      <c r="D475" s="4">
        <v>0.15733283407144444</v>
      </c>
      <c r="E475" t="s">
        <v>446</v>
      </c>
      <c r="F475" s="4">
        <v>7.8666417035722219E-2</v>
      </c>
      <c r="G475" s="1">
        <f>F475</f>
        <v>7.8666417035722219E-2</v>
      </c>
      <c r="I475" s="13" t="s">
        <v>66</v>
      </c>
    </row>
    <row r="476" spans="2:9" x14ac:dyDescent="0.3">
      <c r="B476" s="30" t="s">
        <v>636</v>
      </c>
      <c r="C476" s="17" t="s">
        <v>311</v>
      </c>
      <c r="D476" s="4">
        <v>0.65105487414141416</v>
      </c>
      <c r="E476" t="s">
        <v>446</v>
      </c>
      <c r="F476" s="4">
        <v>0.32552743707070708</v>
      </c>
      <c r="G476" s="1">
        <f>F476</f>
        <v>0.32552743707070708</v>
      </c>
      <c r="I476" s="13" t="s">
        <v>66</v>
      </c>
    </row>
    <row r="477" spans="2:9" x14ac:dyDescent="0.3">
      <c r="B477" s="30" t="s">
        <v>636</v>
      </c>
      <c r="C477" s="9" t="s">
        <v>324</v>
      </c>
      <c r="D477" s="4">
        <v>0.29699999999999999</v>
      </c>
      <c r="E477" t="s">
        <v>830</v>
      </c>
      <c r="F477" s="4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10" t="s">
        <v>831</v>
      </c>
    </row>
    <row r="478" spans="2:9" ht="12" customHeight="1" x14ac:dyDescent="0.3">
      <c r="B478" s="30" t="s">
        <v>636</v>
      </c>
      <c r="C478" s="9"/>
      <c r="D478" s="4">
        <v>35.54</v>
      </c>
      <c r="E478" t="s">
        <v>832</v>
      </c>
      <c r="F478" s="4">
        <v>0.29076299999999999</v>
      </c>
      <c r="I478" s="10" t="s">
        <v>833</v>
      </c>
    </row>
    <row r="479" spans="2:9" ht="12" customHeight="1" x14ac:dyDescent="0.3">
      <c r="B479" s="30" t="s">
        <v>636</v>
      </c>
      <c r="C479" s="17"/>
      <c r="D479" s="4">
        <v>0.34</v>
      </c>
      <c r="E479" t="s">
        <v>834</v>
      </c>
      <c r="F479" s="4">
        <v>0.34</v>
      </c>
      <c r="I479" s="10" t="s">
        <v>835</v>
      </c>
    </row>
    <row r="480" spans="2:9" ht="12" customHeight="1" x14ac:dyDescent="0.3">
      <c r="B480" s="30" t="s">
        <v>636</v>
      </c>
      <c r="C480" s="17"/>
      <c r="D480" s="4">
        <v>0.21</v>
      </c>
      <c r="E480" t="s">
        <v>834</v>
      </c>
      <c r="F480" s="4">
        <v>0.21</v>
      </c>
      <c r="I480" s="10" t="s">
        <v>836</v>
      </c>
    </row>
    <row r="481" spans="1:28" ht="12" customHeight="1" x14ac:dyDescent="0.3">
      <c r="B481" s="30" t="s">
        <v>636</v>
      </c>
      <c r="C481" s="17"/>
      <c r="D481" s="4">
        <v>0.2</v>
      </c>
      <c r="E481" t="s">
        <v>834</v>
      </c>
      <c r="F481" s="4">
        <v>0.2</v>
      </c>
      <c r="I481" s="10" t="s">
        <v>833</v>
      </c>
    </row>
    <row r="482" spans="1:28" x14ac:dyDescent="0.3">
      <c r="A482" s="14"/>
      <c r="B482" s="30" t="s">
        <v>636</v>
      </c>
      <c r="C482" t="s">
        <v>333</v>
      </c>
      <c r="E482" t="s">
        <v>446</v>
      </c>
      <c r="F482" s="4">
        <v>7.4340426666666667E-2</v>
      </c>
      <c r="G482" s="1">
        <f>F482</f>
        <v>7.4340426666666667E-2</v>
      </c>
      <c r="I482" s="13" t="s">
        <v>66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spans="1:28" ht="12" customHeight="1" x14ac:dyDescent="0.3">
      <c r="B483" s="30" t="s">
        <v>636</v>
      </c>
      <c r="C483" s="17" t="s">
        <v>340</v>
      </c>
      <c r="D483" s="4">
        <v>221</v>
      </c>
      <c r="E483" t="s">
        <v>832</v>
      </c>
      <c r="I483" s="10" t="s">
        <v>837</v>
      </c>
    </row>
    <row r="484" spans="1:28" ht="12" customHeight="1" x14ac:dyDescent="0.3">
      <c r="B484" s="31" t="s">
        <v>838</v>
      </c>
      <c r="C484" t="s">
        <v>10</v>
      </c>
      <c r="E484" t="s">
        <v>446</v>
      </c>
      <c r="F484" s="4">
        <v>0.41900928561266981</v>
      </c>
      <c r="G484" s="1">
        <f t="shared" ref="G484:G512" si="12">F484</f>
        <v>0.41900928561266981</v>
      </c>
      <c r="I484" s="13" t="s">
        <v>66</v>
      </c>
    </row>
    <row r="485" spans="1:28" ht="12" customHeight="1" x14ac:dyDescent="0.3">
      <c r="B485" s="31" t="s">
        <v>838</v>
      </c>
      <c r="C485" t="s">
        <v>24</v>
      </c>
      <c r="D485" s="4">
        <v>0.16069701234567899</v>
      </c>
      <c r="E485" t="s">
        <v>446</v>
      </c>
      <c r="F485" s="4">
        <v>8.0348506172839493E-2</v>
      </c>
      <c r="G485" s="1">
        <f t="shared" si="12"/>
        <v>8.0348506172839493E-2</v>
      </c>
      <c r="I485" s="13" t="s">
        <v>66</v>
      </c>
    </row>
    <row r="486" spans="1:28" x14ac:dyDescent="0.3">
      <c r="B486" s="31" t="s">
        <v>838</v>
      </c>
      <c r="C486" t="s">
        <v>29</v>
      </c>
      <c r="D486" s="4">
        <v>0.52225192098765427</v>
      </c>
      <c r="E486" t="s">
        <v>446</v>
      </c>
      <c r="F486" s="4">
        <v>0.26112596049382714</v>
      </c>
      <c r="G486" s="1">
        <f t="shared" si="12"/>
        <v>0.26112596049382714</v>
      </c>
      <c r="I486" s="13" t="s">
        <v>66</v>
      </c>
    </row>
    <row r="487" spans="1:28" x14ac:dyDescent="0.3">
      <c r="B487" s="31" t="s">
        <v>838</v>
      </c>
      <c r="C487" s="9" t="s">
        <v>33</v>
      </c>
      <c r="E487" t="s">
        <v>446</v>
      </c>
      <c r="F487" s="4">
        <v>0.34064023259259252</v>
      </c>
      <c r="G487" s="1">
        <f t="shared" si="12"/>
        <v>0.34064023259259252</v>
      </c>
      <c r="I487" s="13" t="s">
        <v>66</v>
      </c>
    </row>
    <row r="488" spans="1:28" x14ac:dyDescent="0.3">
      <c r="B488" s="31" t="s">
        <v>838</v>
      </c>
      <c r="C488" t="s">
        <v>47</v>
      </c>
      <c r="E488" t="s">
        <v>446</v>
      </c>
      <c r="F488" s="4">
        <v>0.16765965827160495</v>
      </c>
      <c r="G488" s="1">
        <f t="shared" si="12"/>
        <v>0.16765965827160495</v>
      </c>
      <c r="I488" s="13" t="s">
        <v>66</v>
      </c>
    </row>
    <row r="489" spans="1:28" x14ac:dyDescent="0.3">
      <c r="B489" s="31" t="s">
        <v>838</v>
      </c>
      <c r="C489" t="s">
        <v>64</v>
      </c>
      <c r="E489" t="s">
        <v>446</v>
      </c>
      <c r="F489" s="4">
        <v>0.20117875555555553</v>
      </c>
      <c r="G489" s="1">
        <f t="shared" si="12"/>
        <v>0.20117875555555553</v>
      </c>
      <c r="I489" s="13" t="s">
        <v>66</v>
      </c>
    </row>
    <row r="490" spans="1:28" x14ac:dyDescent="0.3">
      <c r="B490" s="31" t="s">
        <v>838</v>
      </c>
      <c r="C490" t="s">
        <v>67</v>
      </c>
      <c r="D490" s="4">
        <v>0.15391787539961016</v>
      </c>
      <c r="E490" t="s">
        <v>446</v>
      </c>
      <c r="F490" s="4">
        <v>7.695893769980508E-2</v>
      </c>
      <c r="G490" s="1">
        <f t="shared" si="12"/>
        <v>7.695893769980508E-2</v>
      </c>
      <c r="I490" s="13" t="s">
        <v>66</v>
      </c>
    </row>
    <row r="491" spans="1:28" x14ac:dyDescent="0.3">
      <c r="B491" s="31" t="s">
        <v>838</v>
      </c>
      <c r="C491" t="s">
        <v>79</v>
      </c>
      <c r="E491" t="s">
        <v>446</v>
      </c>
      <c r="F491" s="4">
        <v>1.5319696769008448E-2</v>
      </c>
      <c r="G491" s="1">
        <f t="shared" si="12"/>
        <v>1.5319696769008448E-2</v>
      </c>
      <c r="I491" s="13" t="s">
        <v>66</v>
      </c>
    </row>
    <row r="492" spans="1:28" x14ac:dyDescent="0.3">
      <c r="B492" s="31" t="s">
        <v>838</v>
      </c>
      <c r="C492" t="s">
        <v>83</v>
      </c>
      <c r="E492" t="s">
        <v>446</v>
      </c>
      <c r="F492" s="4">
        <v>3.7897489259259259E-2</v>
      </c>
      <c r="G492" s="1">
        <f t="shared" si="12"/>
        <v>3.7897489259259259E-2</v>
      </c>
      <c r="I492" s="13" t="s">
        <v>66</v>
      </c>
    </row>
    <row r="493" spans="1:28" x14ac:dyDescent="0.3">
      <c r="B493" s="31" t="s">
        <v>838</v>
      </c>
      <c r="C493" s="9" t="s">
        <v>87</v>
      </c>
      <c r="E493" t="s">
        <v>446</v>
      </c>
      <c r="F493" s="4">
        <v>0.13047187423043535</v>
      </c>
      <c r="G493" s="1">
        <f t="shared" si="12"/>
        <v>0.13047187423043535</v>
      </c>
      <c r="I493" s="13" t="s">
        <v>66</v>
      </c>
    </row>
    <row r="494" spans="1:28" x14ac:dyDescent="0.3">
      <c r="B494" s="31" t="s">
        <v>838</v>
      </c>
      <c r="C494" s="9" t="s">
        <v>101</v>
      </c>
      <c r="E494" t="s">
        <v>446</v>
      </c>
      <c r="F494" s="4">
        <v>0.3119191791091358</v>
      </c>
      <c r="G494" s="1">
        <f t="shared" si="12"/>
        <v>0.3119191791091358</v>
      </c>
      <c r="I494" s="13" t="s">
        <v>66</v>
      </c>
    </row>
    <row r="495" spans="1:28" x14ac:dyDescent="0.3">
      <c r="B495" s="31" t="s">
        <v>838</v>
      </c>
      <c r="C495" s="9" t="s">
        <v>115</v>
      </c>
      <c r="D495" s="4" t="s">
        <v>839</v>
      </c>
      <c r="E495" t="s">
        <v>840</v>
      </c>
      <c r="F495" s="4">
        <v>5.9622180451127819E-2</v>
      </c>
      <c r="G495" s="1">
        <f t="shared" si="12"/>
        <v>5.9622180451127819E-2</v>
      </c>
      <c r="H495">
        <v>0</v>
      </c>
      <c r="I495" t="s">
        <v>841</v>
      </c>
    </row>
    <row r="496" spans="1:28" x14ac:dyDescent="0.3">
      <c r="B496" s="31" t="s">
        <v>838</v>
      </c>
      <c r="C496" t="s">
        <v>129</v>
      </c>
      <c r="E496" t="s">
        <v>446</v>
      </c>
      <c r="F496" s="4">
        <v>8.4498078718393765E-2</v>
      </c>
      <c r="G496" s="1">
        <f t="shared" si="12"/>
        <v>8.4498078718393765E-2</v>
      </c>
      <c r="I496" s="13" t="s">
        <v>66</v>
      </c>
    </row>
    <row r="497" spans="2:10" x14ac:dyDescent="0.3">
      <c r="B497" s="31" t="s">
        <v>838</v>
      </c>
      <c r="C497" t="s">
        <v>148</v>
      </c>
      <c r="E497" t="s">
        <v>446</v>
      </c>
      <c r="F497" s="4">
        <v>0.21247246998656216</v>
      </c>
      <c r="G497" s="1">
        <f t="shared" si="12"/>
        <v>0.21247246998656216</v>
      </c>
      <c r="I497" s="13" t="s">
        <v>66</v>
      </c>
      <c r="J497" t="s">
        <v>842</v>
      </c>
    </row>
    <row r="498" spans="2:10" x14ac:dyDescent="0.3">
      <c r="B498" s="31" t="s">
        <v>838</v>
      </c>
      <c r="C498" t="s">
        <v>164</v>
      </c>
      <c r="E498" t="s">
        <v>446</v>
      </c>
      <c r="F498" s="4">
        <v>0.14421782714697853</v>
      </c>
      <c r="G498" s="1">
        <f t="shared" si="12"/>
        <v>0.14421782714697853</v>
      </c>
      <c r="I498" s="13" t="s">
        <v>66</v>
      </c>
    </row>
    <row r="499" spans="2:10" x14ac:dyDescent="0.3">
      <c r="B499" s="31" t="s">
        <v>838</v>
      </c>
      <c r="C499" s="9" t="s">
        <v>181</v>
      </c>
      <c r="D499" s="4">
        <v>0.79573096296296297</v>
      </c>
      <c r="E499" t="s">
        <v>446</v>
      </c>
      <c r="F499" s="4">
        <v>0.39786548148148149</v>
      </c>
      <c r="G499" s="1">
        <f t="shared" si="12"/>
        <v>0.39786548148148149</v>
      </c>
      <c r="I499" s="13" t="s">
        <v>66</v>
      </c>
    </row>
    <row r="500" spans="2:10" x14ac:dyDescent="0.3">
      <c r="B500" s="31" t="s">
        <v>838</v>
      </c>
      <c r="C500" s="9" t="s">
        <v>192</v>
      </c>
      <c r="D500" s="4">
        <v>0.33771579684920311</v>
      </c>
      <c r="E500" t="s">
        <v>446</v>
      </c>
      <c r="F500" s="4">
        <v>0.16885789842460155</v>
      </c>
      <c r="G500" s="1">
        <f t="shared" si="12"/>
        <v>0.16885789842460155</v>
      </c>
      <c r="I500" s="13" t="s">
        <v>66</v>
      </c>
    </row>
    <row r="501" spans="2:10" x14ac:dyDescent="0.3">
      <c r="B501" s="31" t="s">
        <v>838</v>
      </c>
      <c r="C501" s="17" t="s">
        <v>204</v>
      </c>
      <c r="D501" s="4">
        <v>0.19074636011643925</v>
      </c>
      <c r="E501" t="s">
        <v>446</v>
      </c>
      <c r="F501" s="4">
        <v>9.5373180058219625E-2</v>
      </c>
      <c r="G501" s="1">
        <f t="shared" si="12"/>
        <v>9.5373180058219625E-2</v>
      </c>
      <c r="I501" s="13" t="s">
        <v>66</v>
      </c>
    </row>
    <row r="502" spans="2:10" x14ac:dyDescent="0.3">
      <c r="B502" s="31" t="s">
        <v>838</v>
      </c>
      <c r="C502" s="17" t="s">
        <v>217</v>
      </c>
      <c r="D502" s="4">
        <v>0.13422071286902143</v>
      </c>
      <c r="E502" t="s">
        <v>446</v>
      </c>
      <c r="F502" s="4">
        <v>6.7110356434510715E-2</v>
      </c>
      <c r="G502" s="1">
        <f t="shared" si="12"/>
        <v>6.7110356434510715E-2</v>
      </c>
      <c r="I502" s="13" t="s">
        <v>66</v>
      </c>
    </row>
    <row r="503" spans="2:10" ht="12" customHeight="1" x14ac:dyDescent="0.3">
      <c r="B503" s="31" t="s">
        <v>838</v>
      </c>
      <c r="C503" s="17" t="s">
        <v>230</v>
      </c>
      <c r="D503" s="4">
        <v>0.55001694222222219</v>
      </c>
      <c r="E503" t="s">
        <v>446</v>
      </c>
      <c r="F503" s="4">
        <v>0.2750084711111111</v>
      </c>
      <c r="G503" s="1">
        <f t="shared" si="12"/>
        <v>0.2750084711111111</v>
      </c>
      <c r="I503" s="13" t="s">
        <v>66</v>
      </c>
    </row>
    <row r="504" spans="2:10" x14ac:dyDescent="0.3">
      <c r="B504" s="31" t="s">
        <v>838</v>
      </c>
      <c r="C504" s="17" t="s">
        <v>241</v>
      </c>
      <c r="D504" s="4">
        <v>8.461565286549709E-2</v>
      </c>
      <c r="E504" t="s">
        <v>446</v>
      </c>
      <c r="F504" s="4">
        <v>4.2307826432748545E-2</v>
      </c>
      <c r="G504" s="1">
        <f t="shared" si="12"/>
        <v>4.2307826432748545E-2</v>
      </c>
      <c r="I504" s="13" t="s">
        <v>66</v>
      </c>
    </row>
    <row r="505" spans="2:10" x14ac:dyDescent="0.3">
      <c r="B505" s="31" t="s">
        <v>838</v>
      </c>
      <c r="C505" s="17" t="s">
        <v>256</v>
      </c>
      <c r="D505" s="4">
        <v>0.15167929100974659</v>
      </c>
      <c r="E505" t="s">
        <v>446</v>
      </c>
      <c r="F505" s="4">
        <v>7.5839645504873293E-2</v>
      </c>
      <c r="G505" s="1">
        <f t="shared" si="12"/>
        <v>7.5839645504873293E-2</v>
      </c>
      <c r="I505" s="13" t="s">
        <v>66</v>
      </c>
    </row>
    <row r="506" spans="2:10" x14ac:dyDescent="0.3">
      <c r="B506" s="31" t="s">
        <v>838</v>
      </c>
      <c r="C506" s="17" t="s">
        <v>264</v>
      </c>
      <c r="D506" s="4">
        <v>0.15757904842105266</v>
      </c>
      <c r="E506" t="s">
        <v>446</v>
      </c>
      <c r="F506" s="4">
        <v>7.8789524210526332E-2</v>
      </c>
      <c r="G506" s="1">
        <f t="shared" si="12"/>
        <v>7.8789524210526332E-2</v>
      </c>
      <c r="I506" s="13" t="s">
        <v>66</v>
      </c>
    </row>
    <row r="507" spans="2:10" x14ac:dyDescent="0.3">
      <c r="B507" s="31" t="s">
        <v>838</v>
      </c>
      <c r="C507" s="17" t="s">
        <v>277</v>
      </c>
      <c r="D507" s="4">
        <v>0.24544663802469133</v>
      </c>
      <c r="E507" t="s">
        <v>446</v>
      </c>
      <c r="F507" s="4">
        <v>0.12272331901234566</v>
      </c>
      <c r="G507" s="1">
        <f t="shared" si="12"/>
        <v>0.12272331901234566</v>
      </c>
      <c r="I507" s="13" t="s">
        <v>66</v>
      </c>
    </row>
    <row r="508" spans="2:10" x14ac:dyDescent="0.3">
      <c r="B508" s="31" t="s">
        <v>838</v>
      </c>
      <c r="C508" s="17" t="s">
        <v>290</v>
      </c>
      <c r="D508" s="4">
        <v>0.11292570955030123</v>
      </c>
      <c r="E508" t="s">
        <v>446</v>
      </c>
      <c r="F508" s="4">
        <v>5.6462854775150617E-2</v>
      </c>
      <c r="G508" s="1">
        <f t="shared" si="12"/>
        <v>5.6462854775150617E-2</v>
      </c>
      <c r="I508" s="13" t="s">
        <v>66</v>
      </c>
    </row>
    <row r="509" spans="2:10" ht="12" customHeight="1" x14ac:dyDescent="0.3">
      <c r="B509" s="31" t="s">
        <v>838</v>
      </c>
      <c r="C509" s="17" t="s">
        <v>296</v>
      </c>
      <c r="D509" s="4">
        <v>0.20571959498470674</v>
      </c>
      <c r="E509" t="s">
        <v>446</v>
      </c>
      <c r="F509" s="4">
        <v>0.10285979749235337</v>
      </c>
      <c r="G509" s="1">
        <f t="shared" si="12"/>
        <v>0.10285979749235337</v>
      </c>
      <c r="I509" s="13" t="s">
        <v>66</v>
      </c>
    </row>
    <row r="510" spans="2:10" x14ac:dyDescent="0.3">
      <c r="B510" s="31" t="s">
        <v>838</v>
      </c>
      <c r="C510" s="17" t="s">
        <v>310</v>
      </c>
      <c r="D510" s="4">
        <v>0.19542111540686863</v>
      </c>
      <c r="E510" t="s">
        <v>446</v>
      </c>
      <c r="F510" s="4">
        <v>9.7710557703434314E-2</v>
      </c>
      <c r="G510" s="1">
        <f t="shared" si="12"/>
        <v>9.7710557703434314E-2</v>
      </c>
      <c r="I510" s="13" t="s">
        <v>66</v>
      </c>
    </row>
    <row r="511" spans="2:10" x14ac:dyDescent="0.3">
      <c r="B511" s="31" t="s">
        <v>838</v>
      </c>
      <c r="C511" s="17" t="s">
        <v>311</v>
      </c>
      <c r="D511" s="4">
        <v>0.69008383564860298</v>
      </c>
      <c r="E511" t="s">
        <v>446</v>
      </c>
      <c r="F511" s="4">
        <v>0.34504191782430149</v>
      </c>
      <c r="G511" s="1">
        <f t="shared" si="12"/>
        <v>0.34504191782430149</v>
      </c>
      <c r="I511" s="13" t="s">
        <v>66</v>
      </c>
    </row>
    <row r="512" spans="2:10" x14ac:dyDescent="0.3">
      <c r="B512" s="31" t="s">
        <v>838</v>
      </c>
      <c r="C512" s="9" t="s">
        <v>324</v>
      </c>
      <c r="D512" s="4">
        <v>0.28667070883274853</v>
      </c>
      <c r="E512" t="s">
        <v>446</v>
      </c>
      <c r="F512" s="4">
        <v>0.14333535441637427</v>
      </c>
      <c r="G512" s="1">
        <f t="shared" si="12"/>
        <v>0.14333535441637427</v>
      </c>
      <c r="I512" s="13" t="s">
        <v>66</v>
      </c>
    </row>
    <row r="513" spans="1:28" x14ac:dyDescent="0.3">
      <c r="A513" s="14"/>
      <c r="B513" s="31" t="s">
        <v>838</v>
      </c>
      <c r="C513" t="s">
        <v>333</v>
      </c>
      <c r="E513" t="s">
        <v>446</v>
      </c>
      <c r="F513" s="4">
        <v>2.5989600000000002E-2</v>
      </c>
      <c r="G513" s="1">
        <f>F513</f>
        <v>2.5989600000000002E-2</v>
      </c>
      <c r="I513" s="13" t="s">
        <v>66</v>
      </c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spans="1:28" ht="12" customHeight="1" x14ac:dyDescent="0.3">
      <c r="B514" s="31" t="s">
        <v>838</v>
      </c>
      <c r="C514" s="17" t="s">
        <v>340</v>
      </c>
      <c r="E514" t="s">
        <v>446</v>
      </c>
      <c r="F514" s="4">
        <v>7.4540044479012343E-2</v>
      </c>
      <c r="G514" s="1">
        <f>F514</f>
        <v>7.4540044479012343E-2</v>
      </c>
      <c r="I514" s="13" t="s">
        <v>66</v>
      </c>
    </row>
    <row r="515" spans="1:28" x14ac:dyDescent="0.3">
      <c r="B515" s="32" t="s">
        <v>843</v>
      </c>
      <c r="C515" s="9" t="s">
        <v>10</v>
      </c>
      <c r="D515" s="4">
        <v>0.42</v>
      </c>
      <c r="E515" t="s">
        <v>844</v>
      </c>
      <c r="F515" s="4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845</v>
      </c>
    </row>
    <row r="516" spans="1:28" ht="12" customHeight="1" x14ac:dyDescent="0.3">
      <c r="B516" s="32" t="s">
        <v>843</v>
      </c>
      <c r="C516" s="9" t="s">
        <v>1327</v>
      </c>
      <c r="D516" s="4" t="s">
        <v>846</v>
      </c>
      <c r="E516" t="s">
        <v>847</v>
      </c>
      <c r="F516" s="4">
        <v>3.7443034792368123E-2</v>
      </c>
      <c r="I516" t="s">
        <v>848</v>
      </c>
    </row>
    <row r="517" spans="1:28" x14ac:dyDescent="0.3">
      <c r="B517" s="32" t="s">
        <v>843</v>
      </c>
      <c r="C517" s="9" t="s">
        <v>1327</v>
      </c>
      <c r="D517" s="4" t="s">
        <v>849</v>
      </c>
      <c r="E517" t="s">
        <v>850</v>
      </c>
      <c r="F517" s="4">
        <v>1.4303589225589226E-2</v>
      </c>
      <c r="I517" t="s">
        <v>851</v>
      </c>
      <c r="J517" t="s">
        <v>852</v>
      </c>
    </row>
    <row r="518" spans="1:28" x14ac:dyDescent="0.3">
      <c r="B518" s="32" t="s">
        <v>843</v>
      </c>
      <c r="C518" s="9" t="s">
        <v>1327</v>
      </c>
      <c r="D518" s="4">
        <v>0.86839999999999995</v>
      </c>
      <c r="E518" t="s">
        <v>853</v>
      </c>
      <c r="F518" s="4">
        <v>3.4186890505050499E-2</v>
      </c>
      <c r="I518" t="s">
        <v>854</v>
      </c>
      <c r="J518" t="s">
        <v>855</v>
      </c>
    </row>
    <row r="519" spans="1:28" x14ac:dyDescent="0.3">
      <c r="B519" s="32" t="s">
        <v>843</v>
      </c>
      <c r="C519" s="9" t="s">
        <v>1327</v>
      </c>
      <c r="D519" s="4" t="s">
        <v>856</v>
      </c>
      <c r="E519" t="s">
        <v>847</v>
      </c>
      <c r="F519" s="4">
        <v>6.2463380471380468E-2</v>
      </c>
      <c r="I519" t="s">
        <v>857</v>
      </c>
      <c r="J519" t="s">
        <v>858</v>
      </c>
    </row>
    <row r="520" spans="1:28" x14ac:dyDescent="0.3">
      <c r="B520" s="32" t="s">
        <v>843</v>
      </c>
      <c r="C520" t="s">
        <v>24</v>
      </c>
      <c r="D520" s="4">
        <v>0</v>
      </c>
      <c r="E520" t="s">
        <v>446</v>
      </c>
      <c r="F520" s="4">
        <v>0</v>
      </c>
      <c r="G520" s="1">
        <f>F520</f>
        <v>0</v>
      </c>
      <c r="I520" s="13" t="s">
        <v>66</v>
      </c>
      <c r="J520" t="s">
        <v>859</v>
      </c>
    </row>
    <row r="521" spans="1:28" x14ac:dyDescent="0.3">
      <c r="B521" s="32" t="s">
        <v>843</v>
      </c>
      <c r="C521" t="s">
        <v>29</v>
      </c>
      <c r="D521" s="4">
        <v>7.53159090909091E-2</v>
      </c>
      <c r="E521" t="s">
        <v>446</v>
      </c>
      <c r="F521" s="4">
        <v>3.765795454545455E-2</v>
      </c>
      <c r="G521" s="1">
        <f>F521</f>
        <v>3.765795454545455E-2</v>
      </c>
      <c r="I521" s="13" t="s">
        <v>66</v>
      </c>
      <c r="J521" t="s">
        <v>860</v>
      </c>
    </row>
    <row r="522" spans="1:28" x14ac:dyDescent="0.3">
      <c r="B522" s="32" t="s">
        <v>843</v>
      </c>
      <c r="C522" s="9" t="s">
        <v>33</v>
      </c>
      <c r="E522" t="s">
        <v>446</v>
      </c>
      <c r="F522" s="4">
        <v>9.8562241735537202E-3</v>
      </c>
      <c r="G522" s="1">
        <f>F522</f>
        <v>9.8562241735537202E-3</v>
      </c>
      <c r="I522" s="13" t="s">
        <v>66</v>
      </c>
    </row>
    <row r="523" spans="1:28" x14ac:dyDescent="0.3">
      <c r="B523" s="32" t="s">
        <v>843</v>
      </c>
      <c r="C523" s="9" t="s">
        <v>47</v>
      </c>
      <c r="D523" s="4">
        <v>300</v>
      </c>
      <c r="E523" t="s">
        <v>861</v>
      </c>
      <c r="F523" s="4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862</v>
      </c>
    </row>
    <row r="524" spans="1:28" x14ac:dyDescent="0.3">
      <c r="B524" s="32" t="s">
        <v>843</v>
      </c>
      <c r="C524" s="9"/>
      <c r="D524" s="4" t="s">
        <v>863</v>
      </c>
      <c r="E524" t="s">
        <v>864</v>
      </c>
      <c r="F524" s="4">
        <v>8.2063636363636366E-2</v>
      </c>
      <c r="I524" t="s">
        <v>865</v>
      </c>
      <c r="J524" t="s">
        <v>866</v>
      </c>
    </row>
    <row r="525" spans="1:28" x14ac:dyDescent="0.3">
      <c r="B525" s="32" t="s">
        <v>843</v>
      </c>
      <c r="C525" s="9"/>
      <c r="D525" s="4" t="s">
        <v>867</v>
      </c>
      <c r="E525" t="s">
        <v>868</v>
      </c>
      <c r="F525" s="4">
        <v>0.10709999999999999</v>
      </c>
      <c r="I525" t="s">
        <v>869</v>
      </c>
      <c r="J525" t="s">
        <v>870</v>
      </c>
    </row>
    <row r="526" spans="1:28" x14ac:dyDescent="0.3">
      <c r="B526" s="32" t="s">
        <v>843</v>
      </c>
      <c r="C526" t="s">
        <v>64</v>
      </c>
      <c r="D526" s="4">
        <v>0</v>
      </c>
      <c r="E526" t="s">
        <v>446</v>
      </c>
      <c r="F526" s="4">
        <v>0</v>
      </c>
      <c r="G526" s="1">
        <f t="shared" ref="G526:G529" si="13">F526</f>
        <v>0</v>
      </c>
      <c r="I526" s="13" t="s">
        <v>66</v>
      </c>
      <c r="J526" t="s">
        <v>871</v>
      </c>
    </row>
    <row r="527" spans="1:28" x14ac:dyDescent="0.3">
      <c r="B527" s="32" t="s">
        <v>843</v>
      </c>
      <c r="C527" t="s">
        <v>67</v>
      </c>
      <c r="D527">
        <v>9.7181818181818198E-4</v>
      </c>
      <c r="E527" t="s">
        <v>446</v>
      </c>
      <c r="F527" s="4">
        <v>4.8590909090909099E-4</v>
      </c>
      <c r="G527" s="1">
        <f t="shared" si="13"/>
        <v>4.8590909090909099E-4</v>
      </c>
      <c r="I527" s="13" t="s">
        <v>66</v>
      </c>
      <c r="J527" t="s">
        <v>872</v>
      </c>
    </row>
    <row r="528" spans="1:28" x14ac:dyDescent="0.3">
      <c r="B528" s="32" t="s">
        <v>843</v>
      </c>
      <c r="C528" s="9" t="s">
        <v>79</v>
      </c>
      <c r="E528" t="s">
        <v>446</v>
      </c>
      <c r="F528" s="4">
        <v>2.2250219008264463E-4</v>
      </c>
      <c r="G528" s="1">
        <f t="shared" si="13"/>
        <v>2.2250219008264463E-4</v>
      </c>
      <c r="I528" s="13" t="s">
        <v>66</v>
      </c>
    </row>
    <row r="529" spans="2:11" x14ac:dyDescent="0.3">
      <c r="B529" s="32" t="s">
        <v>843</v>
      </c>
      <c r="C529" s="9" t="s">
        <v>83</v>
      </c>
      <c r="E529" t="s">
        <v>446</v>
      </c>
      <c r="F529" s="4">
        <v>3.6670951704545459E-3</v>
      </c>
      <c r="G529" s="1">
        <f t="shared" si="13"/>
        <v>3.6670951704545459E-3</v>
      </c>
      <c r="I529" s="13" t="s">
        <v>66</v>
      </c>
    </row>
    <row r="530" spans="2:11" x14ac:dyDescent="0.3">
      <c r="B530" s="32" t="s">
        <v>843</v>
      </c>
      <c r="C530" s="9" t="s">
        <v>87</v>
      </c>
      <c r="D530" s="4" t="s">
        <v>873</v>
      </c>
      <c r="E530" t="s">
        <v>847</v>
      </c>
      <c r="F530" s="4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874</v>
      </c>
    </row>
    <row r="531" spans="2:11" x14ac:dyDescent="0.3">
      <c r="B531" s="32" t="s">
        <v>843</v>
      </c>
      <c r="C531" s="9" t="s">
        <v>1327</v>
      </c>
      <c r="D531" s="4" t="s">
        <v>875</v>
      </c>
      <c r="E531" t="s">
        <v>876</v>
      </c>
      <c r="F531" s="4">
        <v>2.3522773118027276E-2</v>
      </c>
      <c r="I531" t="s">
        <v>877</v>
      </c>
    </row>
    <row r="532" spans="2:11" x14ac:dyDescent="0.3">
      <c r="B532" s="32" t="s">
        <v>843</v>
      </c>
      <c r="C532" s="9" t="s">
        <v>1327</v>
      </c>
      <c r="D532" s="4" t="s">
        <v>878</v>
      </c>
      <c r="E532" t="s">
        <v>879</v>
      </c>
      <c r="F532" s="4">
        <v>4.2560241818181809E-3</v>
      </c>
      <c r="I532" t="s">
        <v>880</v>
      </c>
      <c r="J532" t="s">
        <v>881</v>
      </c>
    </row>
    <row r="533" spans="2:11" x14ac:dyDescent="0.3">
      <c r="B533" s="32" t="s">
        <v>843</v>
      </c>
      <c r="C533" s="9" t="s">
        <v>1327</v>
      </c>
      <c r="D533" s="4" t="s">
        <v>882</v>
      </c>
      <c r="E533" t="s">
        <v>847</v>
      </c>
      <c r="F533" s="4">
        <v>2.9866836363636358E-2</v>
      </c>
      <c r="I533" t="s">
        <v>883</v>
      </c>
      <c r="J533" t="s">
        <v>884</v>
      </c>
    </row>
    <row r="534" spans="2:11" x14ac:dyDescent="0.3">
      <c r="B534" s="32" t="s">
        <v>843</v>
      </c>
      <c r="C534" s="9" t="s">
        <v>1327</v>
      </c>
      <c r="D534" s="4">
        <v>0.67</v>
      </c>
      <c r="E534" t="s">
        <v>847</v>
      </c>
      <c r="F534" s="4">
        <v>2.5013475454545454E-2</v>
      </c>
      <c r="I534" t="s">
        <v>885</v>
      </c>
      <c r="J534" t="s">
        <v>886</v>
      </c>
      <c r="K534" t="s">
        <v>887</v>
      </c>
    </row>
    <row r="535" spans="2:11" x14ac:dyDescent="0.3">
      <c r="B535" s="32" t="s">
        <v>843</v>
      </c>
      <c r="C535" s="9" t="s">
        <v>101</v>
      </c>
      <c r="D535" s="4">
        <v>0.54</v>
      </c>
      <c r="E535" t="s">
        <v>847</v>
      </c>
      <c r="F535" s="4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888</v>
      </c>
      <c r="J535" t="s">
        <v>889</v>
      </c>
    </row>
    <row r="536" spans="2:11" x14ac:dyDescent="0.3">
      <c r="B536" s="32" t="s">
        <v>843</v>
      </c>
      <c r="C536" s="9" t="s">
        <v>1327</v>
      </c>
      <c r="D536" s="4">
        <v>0.5</v>
      </c>
      <c r="E536" t="s">
        <v>847</v>
      </c>
      <c r="F536" s="4">
        <v>6.2550727272727272E-2</v>
      </c>
      <c r="I536" t="s">
        <v>890</v>
      </c>
      <c r="J536" t="s">
        <v>891</v>
      </c>
    </row>
    <row r="537" spans="2:11" x14ac:dyDescent="0.3">
      <c r="B537" s="32" t="s">
        <v>843</v>
      </c>
      <c r="C537" s="9" t="s">
        <v>1327</v>
      </c>
      <c r="D537" s="4" t="s">
        <v>892</v>
      </c>
      <c r="E537" t="s">
        <v>847</v>
      </c>
      <c r="F537" s="4">
        <v>5.0196958636363635E-2</v>
      </c>
      <c r="I537" t="s">
        <v>893</v>
      </c>
      <c r="J537" t="s">
        <v>894</v>
      </c>
    </row>
    <row r="538" spans="2:11" x14ac:dyDescent="0.3">
      <c r="B538" s="32" t="s">
        <v>843</v>
      </c>
      <c r="C538" s="9" t="s">
        <v>1327</v>
      </c>
      <c r="D538" s="4">
        <v>0.57999999999999996</v>
      </c>
      <c r="E538" t="s">
        <v>847</v>
      </c>
      <c r="F538" s="4">
        <v>7.2558843636363626E-2</v>
      </c>
      <c r="I538" t="s">
        <v>895</v>
      </c>
      <c r="J538" t="s">
        <v>896</v>
      </c>
    </row>
    <row r="539" spans="2:11" x14ac:dyDescent="0.3">
      <c r="B539" s="32" t="s">
        <v>843</v>
      </c>
      <c r="C539" s="9" t="s">
        <v>1327</v>
      </c>
      <c r="D539" s="4">
        <v>0.66</v>
      </c>
      <c r="E539" t="s">
        <v>847</v>
      </c>
      <c r="F539" s="4">
        <v>8.2566960000000009E-2</v>
      </c>
      <c r="I539" t="s">
        <v>895</v>
      </c>
      <c r="J539" t="s">
        <v>897</v>
      </c>
    </row>
    <row r="540" spans="2:11" x14ac:dyDescent="0.3">
      <c r="B540" s="32" t="s">
        <v>843</v>
      </c>
      <c r="C540" s="9" t="s">
        <v>115</v>
      </c>
      <c r="D540"/>
      <c r="E540" t="s">
        <v>446</v>
      </c>
      <c r="F540" s="4">
        <v>0</v>
      </c>
      <c r="G540" s="1">
        <f>F540</f>
        <v>0</v>
      </c>
      <c r="I540" s="13" t="s">
        <v>66</v>
      </c>
      <c r="J540" t="s">
        <v>898</v>
      </c>
      <c r="K540" t="s">
        <v>899</v>
      </c>
    </row>
    <row r="541" spans="2:11" x14ac:dyDescent="0.3">
      <c r="B541" s="32" t="s">
        <v>843</v>
      </c>
      <c r="C541" t="s">
        <v>129</v>
      </c>
      <c r="D541"/>
      <c r="E541" t="s">
        <v>446</v>
      </c>
      <c r="F541" s="4">
        <v>2.695271466942149E-5</v>
      </c>
      <c r="G541" s="1">
        <f>F541</f>
        <v>2.695271466942149E-5</v>
      </c>
      <c r="I541" s="13" t="s">
        <v>66</v>
      </c>
      <c r="J541" t="s">
        <v>900</v>
      </c>
    </row>
    <row r="542" spans="2:11" x14ac:dyDescent="0.3">
      <c r="B542" s="32" t="s">
        <v>843</v>
      </c>
      <c r="C542" t="s">
        <v>148</v>
      </c>
      <c r="D542"/>
      <c r="E542" t="s">
        <v>446</v>
      </c>
      <c r="F542" s="4">
        <v>2.3840887106267219E-3</v>
      </c>
      <c r="G542" s="1">
        <f t="shared" ref="G542:G543" si="14">F542</f>
        <v>2.3840887106267219E-3</v>
      </c>
      <c r="I542" s="13" t="s">
        <v>66</v>
      </c>
    </row>
    <row r="543" spans="2:11" x14ac:dyDescent="0.3">
      <c r="B543" s="32" t="s">
        <v>843</v>
      </c>
      <c r="C543" t="s">
        <v>164</v>
      </c>
      <c r="D543"/>
      <c r="E543" t="s">
        <v>446</v>
      </c>
      <c r="F543" s="4">
        <v>1.2984705681818181E-3</v>
      </c>
      <c r="G543" s="1">
        <f t="shared" si="14"/>
        <v>1.2984705681818181E-3</v>
      </c>
      <c r="I543" s="13" t="s">
        <v>66</v>
      </c>
    </row>
    <row r="544" spans="2:11" x14ac:dyDescent="0.3">
      <c r="B544" s="32" t="s">
        <v>843</v>
      </c>
      <c r="C544" s="9" t="s">
        <v>181</v>
      </c>
      <c r="D544">
        <v>0</v>
      </c>
      <c r="E544" t="s">
        <v>446</v>
      </c>
      <c r="F544" s="4">
        <v>0</v>
      </c>
      <c r="G544" s="1">
        <f>F544</f>
        <v>0</v>
      </c>
      <c r="I544" s="13" t="s">
        <v>66</v>
      </c>
    </row>
    <row r="545" spans="2:9" x14ac:dyDescent="0.3">
      <c r="B545" s="32" t="s">
        <v>843</v>
      </c>
      <c r="C545" s="9" t="s">
        <v>192</v>
      </c>
      <c r="D545" s="4" t="s">
        <v>901</v>
      </c>
      <c r="E545" t="s">
        <v>902</v>
      </c>
      <c r="F545" s="4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903</v>
      </c>
    </row>
    <row r="546" spans="2:9" x14ac:dyDescent="0.3">
      <c r="B546" s="32" t="s">
        <v>843</v>
      </c>
      <c r="C546" s="9" t="s">
        <v>1327</v>
      </c>
      <c r="D546" s="4">
        <v>7.5656159090909086E-2</v>
      </c>
      <c r="E546" t="s">
        <v>904</v>
      </c>
      <c r="F546" s="4">
        <v>7.5656159090909086E-2</v>
      </c>
      <c r="I546" t="s">
        <v>905</v>
      </c>
    </row>
    <row r="547" spans="2:9" x14ac:dyDescent="0.3">
      <c r="B547" s="32" t="s">
        <v>843</v>
      </c>
      <c r="C547" s="17" t="s">
        <v>204</v>
      </c>
      <c r="D547" s="4">
        <v>3.2774181663223149E-2</v>
      </c>
      <c r="E547" t="s">
        <v>446</v>
      </c>
      <c r="F547" s="4">
        <v>1.6387090831611575E-2</v>
      </c>
      <c r="G547" s="1">
        <f>F547</f>
        <v>1.6387090831611575E-2</v>
      </c>
      <c r="I547" s="13" t="s">
        <v>66</v>
      </c>
    </row>
    <row r="548" spans="2:9" x14ac:dyDescent="0.3">
      <c r="B548" s="32" t="s">
        <v>843</v>
      </c>
      <c r="C548" s="17" t="s">
        <v>217</v>
      </c>
      <c r="D548" s="4">
        <v>1.2354238636363637E-4</v>
      </c>
      <c r="E548" t="s">
        <v>446</v>
      </c>
      <c r="F548" s="4">
        <v>6.1771193181818187E-5</v>
      </c>
      <c r="G548" s="1">
        <f t="shared" ref="G548:G558" si="15">F548</f>
        <v>6.1771193181818187E-5</v>
      </c>
      <c r="I548" s="13" t="s">
        <v>66</v>
      </c>
    </row>
    <row r="549" spans="2:9" ht="12" customHeight="1" x14ac:dyDescent="0.3">
      <c r="B549" s="32" t="s">
        <v>843</v>
      </c>
      <c r="C549" s="17" t="s">
        <v>230</v>
      </c>
      <c r="D549" s="4">
        <v>4.9810540909090907E-2</v>
      </c>
      <c r="E549" t="s">
        <v>446</v>
      </c>
      <c r="F549" s="4">
        <v>2.4905270454545454E-2</v>
      </c>
      <c r="G549" s="1">
        <f t="shared" si="15"/>
        <v>2.4905270454545454E-2</v>
      </c>
      <c r="I549" s="13" t="s">
        <v>66</v>
      </c>
    </row>
    <row r="550" spans="2:9" x14ac:dyDescent="0.3">
      <c r="B550" s="32" t="s">
        <v>843</v>
      </c>
      <c r="C550" s="17" t="s">
        <v>241</v>
      </c>
      <c r="D550" s="4">
        <v>1.3848409090909094E-2</v>
      </c>
      <c r="E550" t="s">
        <v>446</v>
      </c>
      <c r="F550" s="4">
        <v>6.9242045454545468E-3</v>
      </c>
      <c r="G550" s="1">
        <f t="shared" si="15"/>
        <v>6.9242045454545468E-3</v>
      </c>
      <c r="I550" s="13" t="s">
        <v>66</v>
      </c>
    </row>
    <row r="551" spans="2:9" x14ac:dyDescent="0.3">
      <c r="B551" s="32" t="s">
        <v>843</v>
      </c>
      <c r="C551" s="17" t="s">
        <v>256</v>
      </c>
      <c r="D551" s="4">
        <v>0</v>
      </c>
      <c r="E551" t="s">
        <v>446</v>
      </c>
      <c r="F551" s="4">
        <v>0</v>
      </c>
      <c r="G551" s="1">
        <f t="shared" si="15"/>
        <v>0</v>
      </c>
      <c r="I551" s="13" t="s">
        <v>66</v>
      </c>
    </row>
    <row r="552" spans="2:9" x14ac:dyDescent="0.3">
      <c r="B552" s="32" t="s">
        <v>843</v>
      </c>
      <c r="C552" s="17" t="s">
        <v>264</v>
      </c>
      <c r="D552" s="4">
        <v>0</v>
      </c>
      <c r="E552" t="s">
        <v>446</v>
      </c>
      <c r="F552" s="4">
        <v>0</v>
      </c>
      <c r="G552" s="1">
        <f t="shared" si="15"/>
        <v>0</v>
      </c>
      <c r="I552" s="13" t="s">
        <v>66</v>
      </c>
    </row>
    <row r="553" spans="2:9" x14ac:dyDescent="0.3">
      <c r="B553" s="32" t="s">
        <v>843</v>
      </c>
      <c r="C553" s="17" t="s">
        <v>277</v>
      </c>
      <c r="D553" s="4">
        <v>0.06</v>
      </c>
      <c r="E553" t="s">
        <v>906</v>
      </c>
      <c r="F553" s="4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907</v>
      </c>
    </row>
    <row r="554" spans="2:9" x14ac:dyDescent="0.3">
      <c r="B554" s="32" t="s">
        <v>843</v>
      </c>
      <c r="C554" s="7" t="s">
        <v>1327</v>
      </c>
      <c r="D554" s="4">
        <v>0.11517149793388431</v>
      </c>
      <c r="E554" t="s">
        <v>446</v>
      </c>
      <c r="F554" s="4">
        <v>5.7585748966942157E-2</v>
      </c>
      <c r="I554" s="13" t="s">
        <v>66</v>
      </c>
    </row>
    <row r="555" spans="2:9" x14ac:dyDescent="0.3">
      <c r="B555" s="32" t="s">
        <v>843</v>
      </c>
      <c r="C555" s="17" t="s">
        <v>290</v>
      </c>
      <c r="D555" s="4">
        <v>1.0142247933884302E-3</v>
      </c>
      <c r="E555" t="s">
        <v>446</v>
      </c>
      <c r="F555" s="4">
        <v>5.0711239669421512E-4</v>
      </c>
      <c r="G555" s="1">
        <f t="shared" si="15"/>
        <v>5.0711239669421512E-4</v>
      </c>
      <c r="I555" s="13" t="s">
        <v>66</v>
      </c>
    </row>
    <row r="556" spans="2:9" ht="12" customHeight="1" x14ac:dyDescent="0.3">
      <c r="B556" s="32" t="s">
        <v>843</v>
      </c>
      <c r="C556" s="17" t="s">
        <v>296</v>
      </c>
      <c r="D556" s="4">
        <v>1.3462697104958681E-3</v>
      </c>
      <c r="E556" t="s">
        <v>446</v>
      </c>
      <c r="F556" s="4">
        <v>6.7313485524793403E-4</v>
      </c>
      <c r="G556" s="1">
        <f t="shared" si="15"/>
        <v>6.7313485524793403E-4</v>
      </c>
      <c r="I556" s="13" t="s">
        <v>66</v>
      </c>
    </row>
    <row r="557" spans="2:9" x14ac:dyDescent="0.3">
      <c r="B557" s="32" t="s">
        <v>843</v>
      </c>
      <c r="C557" s="17" t="s">
        <v>310</v>
      </c>
      <c r="D557" s="4">
        <v>1.9428430563068187E-3</v>
      </c>
      <c r="E557" t="s">
        <v>446</v>
      </c>
      <c r="F557" s="4">
        <v>9.7142152815340933E-4</v>
      </c>
      <c r="G557" s="1">
        <f t="shared" si="15"/>
        <v>9.7142152815340933E-4</v>
      </c>
      <c r="I557" s="13" t="s">
        <v>66</v>
      </c>
    </row>
    <row r="558" spans="2:9" x14ac:dyDescent="0.3">
      <c r="B558" s="32" t="s">
        <v>843</v>
      </c>
      <c r="C558" s="17" t="s">
        <v>311</v>
      </c>
      <c r="D558" s="4">
        <v>6.7900384194214888E-2</v>
      </c>
      <c r="E558" t="s">
        <v>446</v>
      </c>
      <c r="F558" s="4">
        <v>3.3950192097107444E-2</v>
      </c>
      <c r="G558" s="1">
        <f t="shared" si="15"/>
        <v>3.3950192097107444E-2</v>
      </c>
      <c r="I558" s="13" t="s">
        <v>66</v>
      </c>
    </row>
    <row r="559" spans="2:9" x14ac:dyDescent="0.3">
      <c r="B559" s="32" t="s">
        <v>843</v>
      </c>
      <c r="C559" s="7" t="s">
        <v>324</v>
      </c>
      <c r="D559" s="4">
        <v>2.3030000000000002E-2</v>
      </c>
      <c r="E559" t="s">
        <v>908</v>
      </c>
      <c r="F559" s="4">
        <v>0.7</v>
      </c>
      <c r="G559" s="1">
        <f>AVERAGE(F559:F563)</f>
        <v>0.18929400000000002</v>
      </c>
      <c r="H559">
        <f>_xlfn.STDEV.P(F559:F563)</f>
        <v>0.25550722773338524</v>
      </c>
      <c r="I559" s="10" t="s">
        <v>909</v>
      </c>
    </row>
    <row r="560" spans="2:9" x14ac:dyDescent="0.3">
      <c r="B560" s="32" t="s">
        <v>843</v>
      </c>
      <c r="D560" s="4">
        <v>5.6840000000000002E-2</v>
      </c>
      <c r="E560" t="s">
        <v>908</v>
      </c>
      <c r="F560" s="4">
        <v>5.6840000000000002E-2</v>
      </c>
      <c r="I560" s="10" t="s">
        <v>910</v>
      </c>
    </row>
    <row r="561" spans="1:28" x14ac:dyDescent="0.3">
      <c r="B561" s="32" t="s">
        <v>843</v>
      </c>
      <c r="D561" s="4">
        <v>7.6440000000000008E-2</v>
      </c>
      <c r="E561" t="s">
        <v>908</v>
      </c>
      <c r="F561" s="4">
        <v>7.6440000000000008E-2</v>
      </c>
      <c r="I561" s="10" t="s">
        <v>911</v>
      </c>
    </row>
    <row r="562" spans="1:28" x14ac:dyDescent="0.3">
      <c r="B562" s="32" t="s">
        <v>843</v>
      </c>
      <c r="D562" s="4">
        <v>4.9489999999999999E-2</v>
      </c>
      <c r="E562" t="s">
        <v>908</v>
      </c>
      <c r="F562" s="4">
        <v>4.9489999999999999E-2</v>
      </c>
      <c r="I562" s="10" t="s">
        <v>912</v>
      </c>
    </row>
    <row r="563" spans="1:28" x14ac:dyDescent="0.3">
      <c r="B563" s="32" t="s">
        <v>843</v>
      </c>
      <c r="D563" s="4">
        <v>6.3700000000000007E-2</v>
      </c>
      <c r="E563" t="s">
        <v>834</v>
      </c>
      <c r="F563" s="4">
        <v>6.3700000000000007E-2</v>
      </c>
      <c r="I563" s="10" t="s">
        <v>913</v>
      </c>
    </row>
    <row r="564" spans="1:28" x14ac:dyDescent="0.3">
      <c r="A564" s="14"/>
      <c r="B564" s="32" t="s">
        <v>843</v>
      </c>
      <c r="C564" t="s">
        <v>333</v>
      </c>
      <c r="E564" t="s">
        <v>446</v>
      </c>
      <c r="F564" s="4">
        <v>1.2293500000000001E-2</v>
      </c>
      <c r="G564" s="1">
        <f>F564</f>
        <v>1.2293500000000001E-2</v>
      </c>
      <c r="I564" s="13" t="s">
        <v>66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spans="1:28" ht="12" customHeight="1" x14ac:dyDescent="0.3">
      <c r="B565" s="32" t="s">
        <v>843</v>
      </c>
      <c r="C565" s="17" t="s">
        <v>340</v>
      </c>
      <c r="E565" t="s">
        <v>446</v>
      </c>
      <c r="F565" s="4">
        <v>2.9633276342975207E-3</v>
      </c>
      <c r="G565" s="1">
        <f>F565</f>
        <v>2.9633276342975207E-3</v>
      </c>
      <c r="I565" s="13" t="s">
        <v>66</v>
      </c>
    </row>
    <row r="566" spans="1:28" ht="12" customHeight="1" x14ac:dyDescent="0.3">
      <c r="B566" s="33"/>
    </row>
    <row r="567" spans="1:28" x14ac:dyDescent="0.3">
      <c r="B567" s="33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 s="2">
        <v>17902.234742085566</v>
      </c>
      <c r="C2" t="s">
        <v>916</v>
      </c>
    </row>
    <row r="3" spans="1:3" x14ac:dyDescent="0.3">
      <c r="A3">
        <v>2</v>
      </c>
      <c r="B3" s="2">
        <v>16760.348697212994</v>
      </c>
      <c r="C3" t="s">
        <v>917</v>
      </c>
    </row>
    <row r="4" spans="1:3" x14ac:dyDescent="0.3">
      <c r="A4">
        <v>3</v>
      </c>
      <c r="B4" s="3">
        <v>2539.4467723049993</v>
      </c>
      <c r="C4" t="s">
        <v>64</v>
      </c>
    </row>
    <row r="5" spans="1:3" x14ac:dyDescent="0.3">
      <c r="A5">
        <v>4</v>
      </c>
      <c r="B5" s="3">
        <v>12788.681992681795</v>
      </c>
      <c r="C5" t="s">
        <v>67</v>
      </c>
    </row>
    <row r="6" spans="1:3" x14ac:dyDescent="0.3">
      <c r="A6">
        <v>5</v>
      </c>
      <c r="B6" s="2">
        <v>906.96273422726995</v>
      </c>
      <c r="C6" t="s">
        <v>290</v>
      </c>
    </row>
    <row r="7" spans="1:3" x14ac:dyDescent="0.3">
      <c r="A7">
        <v>6</v>
      </c>
      <c r="B7" s="2">
        <v>8827.1956120000104</v>
      </c>
      <c r="C7" t="s">
        <v>129</v>
      </c>
    </row>
    <row r="8" spans="1:3" x14ac:dyDescent="0.3">
      <c r="A8">
        <v>7</v>
      </c>
      <c r="B8" s="4">
        <v>56250</v>
      </c>
      <c r="C8" t="s">
        <v>148</v>
      </c>
    </row>
    <row r="9" spans="1:3" x14ac:dyDescent="0.3">
      <c r="A9">
        <v>8</v>
      </c>
      <c r="B9" s="2">
        <v>4275</v>
      </c>
      <c r="C9" t="s">
        <v>918</v>
      </c>
    </row>
    <row r="10" spans="1:3" x14ac:dyDescent="0.3">
      <c r="A10">
        <v>9</v>
      </c>
      <c r="B10" s="3">
        <v>8523.7728072406462</v>
      </c>
      <c r="C10" t="s">
        <v>10</v>
      </c>
    </row>
    <row r="11" spans="1:3" x14ac:dyDescent="0.3">
      <c r="A11">
        <v>10</v>
      </c>
      <c r="B11" s="3">
        <v>736.9838163302511</v>
      </c>
      <c r="C11" t="s">
        <v>919</v>
      </c>
    </row>
    <row r="12" spans="1:3" x14ac:dyDescent="0.3">
      <c r="A12">
        <v>11</v>
      </c>
      <c r="B12" s="2">
        <v>322.29612959048882</v>
      </c>
      <c r="C12" t="s">
        <v>29</v>
      </c>
    </row>
    <row r="13" spans="1:3" x14ac:dyDescent="0.3">
      <c r="A13">
        <v>12</v>
      </c>
      <c r="B13">
        <v>6314.0601133582823</v>
      </c>
      <c r="C13" t="s">
        <v>311</v>
      </c>
    </row>
    <row r="14" spans="1:3" x14ac:dyDescent="0.3">
      <c r="A14">
        <v>13</v>
      </c>
      <c r="B14">
        <v>46348.938822466123</v>
      </c>
      <c r="C14" t="s">
        <v>324</v>
      </c>
    </row>
    <row r="15" spans="1:3" x14ac:dyDescent="0.3">
      <c r="A15">
        <v>14</v>
      </c>
      <c r="B15">
        <v>751.48582020618778</v>
      </c>
      <c r="C15" t="s">
        <v>333</v>
      </c>
    </row>
    <row r="16" spans="1:3" x14ac:dyDescent="0.3">
      <c r="A16">
        <v>15</v>
      </c>
      <c r="B16">
        <v>13531.2109090909</v>
      </c>
      <c r="C16" t="s">
        <v>340</v>
      </c>
    </row>
    <row r="17" spans="1:3" x14ac:dyDescent="0.3">
      <c r="A17">
        <v>16</v>
      </c>
      <c r="B17">
        <v>4313.5519193017753</v>
      </c>
      <c r="C17" t="s">
        <v>79</v>
      </c>
    </row>
    <row r="18" spans="1:3" x14ac:dyDescent="0.3">
      <c r="A18">
        <v>17</v>
      </c>
      <c r="B18">
        <v>544.7911306499999</v>
      </c>
      <c r="C18" t="s">
        <v>83</v>
      </c>
    </row>
    <row r="19" spans="1:3" x14ac:dyDescent="0.3">
      <c r="A19">
        <v>18</v>
      </c>
      <c r="B19">
        <v>2804.4809679534883</v>
      </c>
      <c r="C19" t="s">
        <v>217</v>
      </c>
    </row>
    <row r="20" spans="1:3" x14ac:dyDescent="0.3">
      <c r="A20">
        <v>19</v>
      </c>
      <c r="B20">
        <v>644.59485673333336</v>
      </c>
      <c r="C20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E16" sqref="E16"/>
    </sheetView>
  </sheetViews>
  <sheetFormatPr defaultRowHeight="14.4" x14ac:dyDescent="0.3"/>
  <cols>
    <col min="2" max="2" width="20.44140625" customWidth="1"/>
  </cols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>
        <v>370</v>
      </c>
      <c r="C2" s="5" t="s">
        <v>9</v>
      </c>
    </row>
    <row r="3" spans="1:3" x14ac:dyDescent="0.3">
      <c r="A3">
        <v>2</v>
      </c>
      <c r="B3">
        <v>51.4</v>
      </c>
      <c r="C3" s="5" t="s">
        <v>341</v>
      </c>
    </row>
    <row r="4" spans="1:3" x14ac:dyDescent="0.3">
      <c r="A4">
        <v>3</v>
      </c>
      <c r="B4">
        <v>58.064516129032256</v>
      </c>
      <c r="C4" s="5" t="s">
        <v>392</v>
      </c>
    </row>
    <row r="5" spans="1:3" x14ac:dyDescent="0.3">
      <c r="A5">
        <v>4</v>
      </c>
      <c r="B5">
        <v>230.87763157894736</v>
      </c>
      <c r="C5" s="5" t="s">
        <v>455</v>
      </c>
    </row>
    <row r="6" spans="1:3" x14ac:dyDescent="0.3">
      <c r="A6">
        <v>5</v>
      </c>
      <c r="B6">
        <v>32.716763005780351</v>
      </c>
      <c r="C6" s="5" t="s">
        <v>458</v>
      </c>
    </row>
    <row r="7" spans="1:3" x14ac:dyDescent="0.3">
      <c r="A7">
        <v>6</v>
      </c>
      <c r="B7">
        <v>74.62</v>
      </c>
      <c r="C7" s="5" t="s">
        <v>459</v>
      </c>
    </row>
    <row r="8" spans="1:3" x14ac:dyDescent="0.3">
      <c r="A8">
        <v>7</v>
      </c>
      <c r="B8">
        <v>0.32786885245901642</v>
      </c>
      <c r="C8" s="5" t="s">
        <v>562</v>
      </c>
    </row>
    <row r="9" spans="1:3" x14ac:dyDescent="0.3">
      <c r="A9">
        <v>8</v>
      </c>
      <c r="B9">
        <v>0.88185654008438807</v>
      </c>
      <c r="C9" s="5" t="s">
        <v>567</v>
      </c>
    </row>
    <row r="10" spans="1:3" x14ac:dyDescent="0.3">
      <c r="A10">
        <v>9</v>
      </c>
      <c r="B10">
        <v>808.56299999999999</v>
      </c>
      <c r="C10" s="5" t="s">
        <v>636</v>
      </c>
    </row>
    <row r="11" spans="1:3" x14ac:dyDescent="0.3">
      <c r="A11">
        <v>10</v>
      </c>
      <c r="B11">
        <v>420</v>
      </c>
      <c r="C11" s="5" t="s">
        <v>838</v>
      </c>
    </row>
    <row r="12" spans="1:3" x14ac:dyDescent="0.3">
      <c r="A12">
        <v>11</v>
      </c>
      <c r="B12">
        <v>23.25</v>
      </c>
      <c r="C12" s="5" t="s">
        <v>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B8" sqref="B8"/>
    </sheetView>
  </sheetViews>
  <sheetFormatPr defaultRowHeight="14.4" x14ac:dyDescent="0.3"/>
  <sheetData>
    <row r="1" spans="1:2" x14ac:dyDescent="0.3">
      <c r="B1" t="s">
        <v>914</v>
      </c>
    </row>
    <row r="2" spans="1:2" x14ac:dyDescent="0.3">
      <c r="A2">
        <v>1</v>
      </c>
      <c r="B2">
        <v>722908.74524714833</v>
      </c>
    </row>
    <row r="3" spans="1:2" x14ac:dyDescent="0.3">
      <c r="A3">
        <v>2</v>
      </c>
      <c r="B3">
        <v>15229300</v>
      </c>
    </row>
    <row r="4" spans="1:2" x14ac:dyDescent="0.3">
      <c r="A4">
        <v>3</v>
      </c>
      <c r="B4">
        <v>6457470000.000001</v>
      </c>
    </row>
    <row r="5" spans="1:2" x14ac:dyDescent="0.3">
      <c r="A5">
        <v>4</v>
      </c>
      <c r="B5">
        <v>538480000</v>
      </c>
    </row>
    <row r="6" spans="1:2" x14ac:dyDescent="0.3">
      <c r="A6">
        <v>5</v>
      </c>
      <c r="B6">
        <v>697499.99999999977</v>
      </c>
    </row>
    <row r="7" spans="1:2" x14ac:dyDescent="0.3">
      <c r="A7">
        <v>6</v>
      </c>
      <c r="B7">
        <v>1412000</v>
      </c>
    </row>
    <row r="8" spans="1:2" x14ac:dyDescent="0.3">
      <c r="A8">
        <v>7</v>
      </c>
      <c r="B8">
        <v>5958170000</v>
      </c>
    </row>
    <row r="9" spans="1:2" x14ac:dyDescent="0.3">
      <c r="A9">
        <v>8</v>
      </c>
      <c r="B9">
        <v>26002400.000000004</v>
      </c>
    </row>
    <row r="10" spans="1:2" x14ac:dyDescent="0.3">
      <c r="A10">
        <v>9</v>
      </c>
      <c r="B10">
        <v>190000</v>
      </c>
    </row>
    <row r="11" spans="1:2" x14ac:dyDescent="0.3">
      <c r="A11">
        <v>10</v>
      </c>
      <c r="B11">
        <v>370000</v>
      </c>
    </row>
    <row r="12" spans="1:2" x14ac:dyDescent="0.3">
      <c r="A12">
        <v>11</v>
      </c>
      <c r="B12">
        <v>4750000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4.4" x14ac:dyDescent="0.3"/>
  <sheetData>
    <row r="1" spans="1:2" x14ac:dyDescent="0.3">
      <c r="B1" t="s">
        <v>914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selection activeCell="H21" sqref="H21"/>
    </sheetView>
  </sheetViews>
  <sheetFormatPr defaultRowHeight="14.4" x14ac:dyDescent="0.3"/>
  <cols>
    <col min="1" max="1" width="18" customWidth="1"/>
    <col min="2" max="2" width="26" customWidth="1"/>
    <col min="3" max="3" width="40" customWidth="1"/>
    <col min="4" max="4" width="62" customWidth="1"/>
    <col min="5" max="5" width="12" customWidth="1"/>
  </cols>
  <sheetData>
    <row r="1" spans="1:5" ht="22.35" customHeight="1" x14ac:dyDescent="0.3">
      <c r="A1" s="35" t="s">
        <v>920</v>
      </c>
      <c r="B1" s="36"/>
      <c r="C1" s="36"/>
      <c r="D1" s="36"/>
      <c r="E1" s="37"/>
    </row>
    <row r="2" spans="1:5" ht="28.8" x14ac:dyDescent="0.3">
      <c r="A2" s="38" t="s">
        <v>921</v>
      </c>
      <c r="B2" s="34" t="s">
        <v>922</v>
      </c>
      <c r="C2" s="34"/>
      <c r="D2" s="34"/>
      <c r="E2" s="39"/>
    </row>
    <row r="3" spans="1:5" x14ac:dyDescent="0.3">
      <c r="A3" s="38" t="s">
        <v>923</v>
      </c>
      <c r="B3" s="34" t="s">
        <v>924</v>
      </c>
      <c r="C3" s="34" t="s">
        <v>925</v>
      </c>
      <c r="D3" s="34" t="s">
        <v>926</v>
      </c>
      <c r="E3" s="39"/>
    </row>
    <row r="4" spans="1:5" x14ac:dyDescent="0.3">
      <c r="A4" s="38" t="s">
        <v>923</v>
      </c>
      <c r="B4" s="34" t="s">
        <v>927</v>
      </c>
      <c r="C4" s="34" t="s">
        <v>928</v>
      </c>
      <c r="D4" s="34" t="s">
        <v>929</v>
      </c>
      <c r="E4" s="39"/>
    </row>
    <row r="5" spans="1:5" x14ac:dyDescent="0.3">
      <c r="A5" s="38" t="s">
        <v>930</v>
      </c>
      <c r="B5" s="34" t="s">
        <v>931</v>
      </c>
      <c r="C5" s="34" t="s">
        <v>932</v>
      </c>
      <c r="D5" s="34" t="s">
        <v>933</v>
      </c>
      <c r="E5" s="39"/>
    </row>
    <row r="6" spans="1:5" ht="28.8" x14ac:dyDescent="0.3">
      <c r="A6" s="38" t="s">
        <v>934</v>
      </c>
      <c r="B6" s="34" t="s">
        <v>935</v>
      </c>
      <c r="C6" s="34" t="s">
        <v>936</v>
      </c>
      <c r="D6" s="34" t="s">
        <v>937</v>
      </c>
      <c r="E6" s="39"/>
    </row>
    <row r="7" spans="1:5" ht="28.8" x14ac:dyDescent="0.3">
      <c r="A7" s="38" t="s">
        <v>938</v>
      </c>
      <c r="B7" s="34" t="s">
        <v>939</v>
      </c>
      <c r="C7" s="34" t="s">
        <v>940</v>
      </c>
      <c r="D7" s="34"/>
      <c r="E7" s="39"/>
    </row>
    <row r="8" spans="1:5" ht="28.8" x14ac:dyDescent="0.3">
      <c r="A8" s="38" t="s">
        <v>941</v>
      </c>
      <c r="B8" s="34" t="s">
        <v>942</v>
      </c>
      <c r="C8" s="34" t="s">
        <v>943</v>
      </c>
      <c r="D8" s="34" t="s">
        <v>944</v>
      </c>
      <c r="E8" s="39"/>
    </row>
    <row r="9" spans="1:5" x14ac:dyDescent="0.3">
      <c r="A9" s="38" t="s">
        <v>941</v>
      </c>
      <c r="B9" s="34" t="s">
        <v>945</v>
      </c>
      <c r="C9" s="34" t="s">
        <v>946</v>
      </c>
      <c r="D9" s="34" t="s">
        <v>947</v>
      </c>
      <c r="E9" s="39"/>
    </row>
    <row r="10" spans="1:5" x14ac:dyDescent="0.3">
      <c r="A10" s="38" t="s">
        <v>948</v>
      </c>
      <c r="B10" s="34" t="s">
        <v>949</v>
      </c>
      <c r="C10" s="34" t="s">
        <v>950</v>
      </c>
      <c r="D10" s="34" t="s">
        <v>951</v>
      </c>
      <c r="E10" s="39"/>
    </row>
    <row r="11" spans="1:5" x14ac:dyDescent="0.3">
      <c r="A11" s="38" t="s">
        <v>952</v>
      </c>
      <c r="B11" s="34" t="s">
        <v>953</v>
      </c>
      <c r="C11" s="34" t="s">
        <v>954</v>
      </c>
      <c r="D11" s="34" t="s">
        <v>955</v>
      </c>
      <c r="E11" s="39"/>
    </row>
    <row r="12" spans="1:5" x14ac:dyDescent="0.3">
      <c r="A12" s="38" t="s">
        <v>956</v>
      </c>
      <c r="B12" s="34" t="s">
        <v>957</v>
      </c>
      <c r="C12" s="34" t="s">
        <v>958</v>
      </c>
      <c r="D12" s="34" t="s">
        <v>959</v>
      </c>
      <c r="E12" s="39"/>
    </row>
    <row r="13" spans="1:5" ht="28.8" x14ac:dyDescent="0.3">
      <c r="A13" s="38" t="s">
        <v>960</v>
      </c>
      <c r="B13" s="34" t="s">
        <v>961</v>
      </c>
      <c r="C13" s="34" t="s">
        <v>962</v>
      </c>
      <c r="D13" s="34" t="s">
        <v>963</v>
      </c>
      <c r="E13" s="39"/>
    </row>
    <row r="14" spans="1:5" x14ac:dyDescent="0.3">
      <c r="A14" s="38" t="s">
        <v>964</v>
      </c>
      <c r="B14" s="34" t="s">
        <v>961</v>
      </c>
      <c r="C14" s="34" t="s">
        <v>965</v>
      </c>
      <c r="D14" s="34" t="s">
        <v>966</v>
      </c>
      <c r="E14" s="39"/>
    </row>
    <row r="15" spans="1:5" x14ac:dyDescent="0.3">
      <c r="A15" s="38" t="s">
        <v>967</v>
      </c>
      <c r="B15" s="34" t="s">
        <v>968</v>
      </c>
      <c r="C15" s="34" t="s">
        <v>969</v>
      </c>
      <c r="D15" s="34" t="s">
        <v>970</v>
      </c>
      <c r="E15" s="39"/>
    </row>
    <row r="16" spans="1:5" x14ac:dyDescent="0.3">
      <c r="A16" s="40" t="s">
        <v>971</v>
      </c>
      <c r="B16" s="41" t="s">
        <v>972</v>
      </c>
      <c r="C16" s="41" t="s">
        <v>973</v>
      </c>
      <c r="D16" s="41" t="s">
        <v>974</v>
      </c>
      <c r="E16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4.4" x14ac:dyDescent="0.3"/>
  <cols>
    <col min="1" max="1" width="25" customWidth="1"/>
    <col min="2" max="2" width="24" customWidth="1"/>
    <col min="3" max="3" width="15" customWidth="1"/>
    <col min="4" max="4" width="62" customWidth="1"/>
  </cols>
  <sheetData>
    <row r="1" spans="1:4" ht="22.35" customHeight="1" x14ac:dyDescent="0.3">
      <c r="A1" s="35" t="s">
        <v>975</v>
      </c>
      <c r="B1" s="36"/>
      <c r="C1" s="36"/>
      <c r="D1" s="37"/>
    </row>
    <row r="2" spans="1:4" x14ac:dyDescent="0.3">
      <c r="A2" s="38"/>
      <c r="B2" s="34"/>
      <c r="C2" s="34"/>
      <c r="D2" s="39"/>
    </row>
    <row r="3" spans="1:4" x14ac:dyDescent="0.3">
      <c r="A3" s="43" t="s">
        <v>976</v>
      </c>
      <c r="B3" s="44" t="s">
        <v>977</v>
      </c>
      <c r="C3" s="44" t="s">
        <v>978</v>
      </c>
      <c r="D3" s="45" t="s">
        <v>979</v>
      </c>
    </row>
    <row r="4" spans="1:4" x14ac:dyDescent="0.3">
      <c r="A4" s="38" t="s">
        <v>980</v>
      </c>
      <c r="B4" s="34">
        <v>500</v>
      </c>
      <c r="C4" s="34" t="s">
        <v>981</v>
      </c>
      <c r="D4" s="39" t="s">
        <v>982</v>
      </c>
    </row>
    <row r="5" spans="1:4" x14ac:dyDescent="0.3">
      <c r="A5" s="38" t="s">
        <v>983</v>
      </c>
      <c r="B5" s="34">
        <v>5000</v>
      </c>
      <c r="C5" s="34" t="s">
        <v>981</v>
      </c>
      <c r="D5" s="39" t="s">
        <v>984</v>
      </c>
    </row>
    <row r="6" spans="1:4" x14ac:dyDescent="0.3">
      <c r="A6" s="38" t="s">
        <v>985</v>
      </c>
      <c r="B6" s="34">
        <v>20260802</v>
      </c>
      <c r="C6" s="34" t="s">
        <v>981</v>
      </c>
      <c r="D6" s="39" t="s">
        <v>986</v>
      </c>
    </row>
    <row r="7" spans="1:4" x14ac:dyDescent="0.3">
      <c r="A7" s="38" t="s">
        <v>987</v>
      </c>
      <c r="B7" s="34" t="s">
        <v>988</v>
      </c>
      <c r="C7" s="34" t="s">
        <v>981</v>
      </c>
      <c r="D7" s="39" t="s">
        <v>989</v>
      </c>
    </row>
    <row r="8" spans="1:4" x14ac:dyDescent="0.3">
      <c r="A8" s="38" t="s">
        <v>990</v>
      </c>
      <c r="B8" s="34" t="s">
        <v>991</v>
      </c>
      <c r="C8" s="34" t="s">
        <v>981</v>
      </c>
      <c r="D8" s="39" t="s">
        <v>992</v>
      </c>
    </row>
    <row r="9" spans="1:4" x14ac:dyDescent="0.3">
      <c r="A9" s="38" t="s">
        <v>993</v>
      </c>
      <c r="B9" s="34" t="s">
        <v>994</v>
      </c>
      <c r="C9" s="34" t="s">
        <v>981</v>
      </c>
      <c r="D9" s="39" t="s">
        <v>995</v>
      </c>
    </row>
    <row r="10" spans="1:4" x14ac:dyDescent="0.3">
      <c r="A10" s="38" t="s">
        <v>996</v>
      </c>
      <c r="B10" s="34" t="s">
        <v>997</v>
      </c>
      <c r="C10" s="34" t="s">
        <v>981</v>
      </c>
      <c r="D10" s="39" t="s">
        <v>998</v>
      </c>
    </row>
    <row r="11" spans="1:4" x14ac:dyDescent="0.3">
      <c r="A11" s="38" t="s">
        <v>999</v>
      </c>
      <c r="B11" s="34" t="s">
        <v>1000</v>
      </c>
      <c r="C11" s="34" t="s">
        <v>1000</v>
      </c>
      <c r="D11" s="39" t="s">
        <v>1001</v>
      </c>
    </row>
    <row r="12" spans="1:4" x14ac:dyDescent="0.3">
      <c r="A12" s="38" t="s">
        <v>1002</v>
      </c>
      <c r="B12" s="34" t="s">
        <v>981</v>
      </c>
      <c r="C12" s="34" t="s">
        <v>1003</v>
      </c>
      <c r="D12" s="39" t="s">
        <v>1004</v>
      </c>
    </row>
    <row r="13" spans="1:4" x14ac:dyDescent="0.3">
      <c r="A13" s="38" t="s">
        <v>1005</v>
      </c>
      <c r="B13" s="34" t="s">
        <v>1006</v>
      </c>
      <c r="C13" s="34" t="s">
        <v>981</v>
      </c>
      <c r="D13" s="39" t="s">
        <v>1007</v>
      </c>
    </row>
    <row r="14" spans="1:4" x14ac:dyDescent="0.3">
      <c r="A14" s="38" t="s">
        <v>1008</v>
      </c>
      <c r="B14" s="34" t="s">
        <v>1009</v>
      </c>
      <c r="C14" s="34" t="s">
        <v>981</v>
      </c>
      <c r="D14" s="39" t="s">
        <v>1010</v>
      </c>
    </row>
    <row r="15" spans="1:4" x14ac:dyDescent="0.3">
      <c r="A15" s="40" t="s">
        <v>1011</v>
      </c>
      <c r="B15" s="41" t="s">
        <v>1012</v>
      </c>
      <c r="C15" s="41" t="s">
        <v>1000</v>
      </c>
      <c r="D15" s="42" t="s">
        <v>1013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10"/>
  <sheetViews>
    <sheetView tabSelected="1" topLeftCell="A134" workbookViewId="0">
      <selection activeCell="I143" sqref="I143"/>
    </sheetView>
  </sheetViews>
  <sheetFormatPr defaultRowHeight="14.4" x14ac:dyDescent="0.3"/>
  <cols>
    <col min="1" max="1" width="10" customWidth="1"/>
    <col min="2" max="2" width="12" customWidth="1"/>
    <col min="3" max="3" width="23" customWidth="1"/>
    <col min="4" max="4" width="12" customWidth="1"/>
    <col min="5" max="5" width="22" customWidth="1"/>
    <col min="6" max="6" width="16" customWidth="1"/>
    <col min="7" max="7" width="14" customWidth="1"/>
    <col min="8" max="10" width="16" customWidth="1"/>
    <col min="11" max="12" width="19" customWidth="1"/>
    <col min="13" max="14" width="15" customWidth="1"/>
    <col min="15" max="15" width="22" customWidth="1"/>
    <col min="16" max="16" width="64" customWidth="1"/>
    <col min="17" max="17" width="54" customWidth="1"/>
  </cols>
  <sheetData>
    <row r="1" spans="1:17" ht="25.65" customHeight="1" x14ac:dyDescent="0.3">
      <c r="A1" s="46" t="s">
        <v>1014</v>
      </c>
      <c r="B1" s="46" t="s">
        <v>1015</v>
      </c>
      <c r="C1" s="46" t="s">
        <v>1016</v>
      </c>
      <c r="D1" s="46" t="s">
        <v>1017</v>
      </c>
      <c r="E1" s="46" t="s">
        <v>1018</v>
      </c>
      <c r="F1" s="46" t="s">
        <v>1019</v>
      </c>
      <c r="G1" s="46" t="s">
        <v>1020</v>
      </c>
      <c r="H1" s="46" t="s">
        <v>1021</v>
      </c>
      <c r="I1" s="46" t="s">
        <v>1022</v>
      </c>
      <c r="J1" s="46" t="s">
        <v>1023</v>
      </c>
      <c r="K1" s="46" t="s">
        <v>1024</v>
      </c>
      <c r="L1" s="46" t="s">
        <v>1025</v>
      </c>
      <c r="M1" s="46" t="s">
        <v>1026</v>
      </c>
      <c r="N1" s="46" t="s">
        <v>1027</v>
      </c>
      <c r="O1" s="46" t="s">
        <v>1028</v>
      </c>
      <c r="P1" s="46" t="s">
        <v>1029</v>
      </c>
      <c r="Q1" s="46" t="s">
        <v>979</v>
      </c>
    </row>
    <row r="2" spans="1:17" ht="43.2" x14ac:dyDescent="0.3">
      <c r="A2" s="48" t="s">
        <v>981</v>
      </c>
      <c r="B2" s="49">
        <v>1</v>
      </c>
      <c r="C2" s="53" t="s">
        <v>916</v>
      </c>
      <c r="D2" s="49">
        <v>1</v>
      </c>
      <c r="E2" s="53" t="s">
        <v>9</v>
      </c>
      <c r="F2" s="55">
        <v>0.33087648399945879</v>
      </c>
      <c r="G2" s="55" t="s">
        <v>1030</v>
      </c>
      <c r="H2" s="55">
        <v>0.28108447619047616</v>
      </c>
      <c r="I2" s="55">
        <v>0.33087648399945879</v>
      </c>
      <c r="J2" s="55">
        <v>0.48641765151515143</v>
      </c>
      <c r="K2" s="55">
        <v>0.26470118719956703</v>
      </c>
      <c r="L2" s="55">
        <v>0.39705178079935055</v>
      </c>
      <c r="M2" s="55">
        <v>0</v>
      </c>
      <c r="N2" s="55">
        <v>1</v>
      </c>
      <c r="O2" s="49" t="s">
        <v>1031</v>
      </c>
      <c r="P2" s="53" t="s">
        <v>1032</v>
      </c>
      <c r="Q2" s="54" t="s">
        <v>1033</v>
      </c>
    </row>
    <row r="3" spans="1:17" ht="28.8" x14ac:dyDescent="0.3">
      <c r="A3" s="50" t="s">
        <v>981</v>
      </c>
      <c r="B3" s="47">
        <v>1</v>
      </c>
      <c r="C3" s="34" t="s">
        <v>916</v>
      </c>
      <c r="D3" s="47">
        <v>2</v>
      </c>
      <c r="E3" s="34" t="s">
        <v>341</v>
      </c>
      <c r="F3" s="56">
        <v>1.4750590909090908E-2</v>
      </c>
      <c r="G3" s="56" t="s">
        <v>1030</v>
      </c>
      <c r="H3" s="56">
        <v>1.1800472727272728E-2</v>
      </c>
      <c r="I3" s="56">
        <v>1.4750590909090908E-2</v>
      </c>
      <c r="J3" s="56">
        <v>1.7700709090909088E-2</v>
      </c>
      <c r="K3" s="56">
        <v>1.1800472727272728E-2</v>
      </c>
      <c r="L3" s="56">
        <v>1.7700709090909088E-2</v>
      </c>
      <c r="M3" s="56">
        <v>0</v>
      </c>
      <c r="N3" s="56">
        <v>1</v>
      </c>
      <c r="O3" s="47" t="s">
        <v>1034</v>
      </c>
      <c r="P3" s="34" t="s">
        <v>1035</v>
      </c>
      <c r="Q3" s="39" t="s">
        <v>1036</v>
      </c>
    </row>
    <row r="4" spans="1:17" ht="28.8" x14ac:dyDescent="0.3">
      <c r="A4" s="50" t="s">
        <v>981</v>
      </c>
      <c r="B4" s="47">
        <v>1</v>
      </c>
      <c r="C4" s="34" t="s">
        <v>916</v>
      </c>
      <c r="D4" s="47">
        <v>3</v>
      </c>
      <c r="E4" s="34" t="s">
        <v>392</v>
      </c>
      <c r="F4" s="56">
        <v>0.24771833333333332</v>
      </c>
      <c r="G4" s="56" t="s">
        <v>1030</v>
      </c>
      <c r="H4" s="56">
        <v>0.19817466666666667</v>
      </c>
      <c r="I4" s="56">
        <v>0.24771833333333332</v>
      </c>
      <c r="J4" s="56">
        <v>0.29726199999999997</v>
      </c>
      <c r="K4" s="56">
        <v>0.19817466666666667</v>
      </c>
      <c r="L4" s="56">
        <v>0.29726199999999997</v>
      </c>
      <c r="M4" s="56">
        <v>0</v>
      </c>
      <c r="N4" s="56">
        <v>1</v>
      </c>
      <c r="O4" s="47" t="s">
        <v>1037</v>
      </c>
      <c r="P4" s="34" t="s">
        <v>1038</v>
      </c>
      <c r="Q4" s="39" t="s">
        <v>1036</v>
      </c>
    </row>
    <row r="5" spans="1:17" ht="28.8" x14ac:dyDescent="0.3">
      <c r="A5" s="50" t="s">
        <v>981</v>
      </c>
      <c r="B5" s="47">
        <v>1</v>
      </c>
      <c r="C5" s="34" t="s">
        <v>916</v>
      </c>
      <c r="D5" s="47">
        <v>4</v>
      </c>
      <c r="E5" s="34" t="s">
        <v>455</v>
      </c>
      <c r="F5" s="56">
        <v>0.30681684999999992</v>
      </c>
      <c r="G5" s="56" t="s">
        <v>1030</v>
      </c>
      <c r="H5" s="56">
        <v>0.24545347999999995</v>
      </c>
      <c r="I5" s="56">
        <v>0.30681684999999992</v>
      </c>
      <c r="J5" s="56">
        <v>0.36818021999999989</v>
      </c>
      <c r="K5" s="56">
        <v>0.24545347999999995</v>
      </c>
      <c r="L5" s="56">
        <v>0.36818021999999989</v>
      </c>
      <c r="M5" s="56">
        <v>0</v>
      </c>
      <c r="N5" s="56">
        <v>1</v>
      </c>
      <c r="O5" s="47" t="s">
        <v>1039</v>
      </c>
      <c r="P5" s="34" t="s">
        <v>1040</v>
      </c>
      <c r="Q5" s="39" t="s">
        <v>1036</v>
      </c>
    </row>
    <row r="6" spans="1:17" ht="28.8" x14ac:dyDescent="0.3">
      <c r="A6" s="50" t="s">
        <v>981</v>
      </c>
      <c r="B6" s="47">
        <v>1</v>
      </c>
      <c r="C6" s="34" t="s">
        <v>916</v>
      </c>
      <c r="D6" s="47">
        <v>5</v>
      </c>
      <c r="E6" s="34" t="s">
        <v>458</v>
      </c>
      <c r="F6" s="56">
        <v>6.016016666666666E-2</v>
      </c>
      <c r="G6" s="56" t="s">
        <v>1030</v>
      </c>
      <c r="H6" s="56">
        <v>4.812813333333333E-2</v>
      </c>
      <c r="I6" s="56">
        <v>6.016016666666666E-2</v>
      </c>
      <c r="J6" s="56">
        <v>7.2192199999999984E-2</v>
      </c>
      <c r="K6" s="56">
        <v>4.812813333333333E-2</v>
      </c>
      <c r="L6" s="56">
        <v>7.2192199999999984E-2</v>
      </c>
      <c r="M6" s="56">
        <v>0</v>
      </c>
      <c r="N6" s="56">
        <v>1</v>
      </c>
      <c r="O6" s="47" t="s">
        <v>1041</v>
      </c>
      <c r="P6" s="34" t="s">
        <v>1042</v>
      </c>
      <c r="Q6" s="39" t="s">
        <v>1036</v>
      </c>
    </row>
    <row r="7" spans="1:17" ht="43.2" x14ac:dyDescent="0.3">
      <c r="A7" s="50" t="s">
        <v>981</v>
      </c>
      <c r="B7" s="47">
        <v>1</v>
      </c>
      <c r="C7" s="34" t="s">
        <v>916</v>
      </c>
      <c r="D7" s="47">
        <v>6</v>
      </c>
      <c r="E7" s="34" t="s">
        <v>459</v>
      </c>
      <c r="F7" s="56">
        <v>0.36914938406926401</v>
      </c>
      <c r="G7" s="56" t="s">
        <v>1030</v>
      </c>
      <c r="H7" s="56">
        <v>0.1</v>
      </c>
      <c r="I7" s="56">
        <v>0.36914938406926401</v>
      </c>
      <c r="J7" s="56">
        <v>0.58213808333333328</v>
      </c>
      <c r="K7" s="56">
        <v>0.29531950725541123</v>
      </c>
      <c r="L7" s="56">
        <v>0.44297926088311679</v>
      </c>
      <c r="M7" s="56">
        <v>0</v>
      </c>
      <c r="N7" s="56">
        <v>1</v>
      </c>
      <c r="O7" s="47" t="s">
        <v>1043</v>
      </c>
      <c r="P7" s="34" t="s">
        <v>1044</v>
      </c>
      <c r="Q7" s="39" t="s">
        <v>1033</v>
      </c>
    </row>
    <row r="8" spans="1:17" ht="28.8" x14ac:dyDescent="0.3">
      <c r="A8" s="50" t="s">
        <v>981</v>
      </c>
      <c r="B8" s="47">
        <v>1</v>
      </c>
      <c r="C8" s="34" t="s">
        <v>916</v>
      </c>
      <c r="D8" s="47">
        <v>7</v>
      </c>
      <c r="E8" s="34" t="s">
        <v>562</v>
      </c>
      <c r="F8" s="56">
        <v>8.3693408333333316E-2</v>
      </c>
      <c r="G8" s="56" t="s">
        <v>1030</v>
      </c>
      <c r="H8" s="56">
        <v>6.6954726666666659E-2</v>
      </c>
      <c r="I8" s="56">
        <v>8.3693408333333316E-2</v>
      </c>
      <c r="J8" s="56">
        <v>0.10043208999999997</v>
      </c>
      <c r="K8" s="56">
        <v>6.6954726666666659E-2</v>
      </c>
      <c r="L8" s="56">
        <v>0.10043208999999997</v>
      </c>
      <c r="M8" s="56">
        <v>0</v>
      </c>
      <c r="N8" s="56">
        <v>1</v>
      </c>
      <c r="O8" s="47" t="s">
        <v>1045</v>
      </c>
      <c r="P8" s="34" t="s">
        <v>1046</v>
      </c>
      <c r="Q8" s="39" t="s">
        <v>1036</v>
      </c>
    </row>
    <row r="9" spans="1:17" ht="43.2" x14ac:dyDescent="0.3">
      <c r="A9" s="50" t="s">
        <v>981</v>
      </c>
      <c r="B9" s="47">
        <v>1</v>
      </c>
      <c r="C9" s="34" t="s">
        <v>916</v>
      </c>
      <c r="D9" s="47">
        <v>8</v>
      </c>
      <c r="E9" s="34" t="s">
        <v>567</v>
      </c>
      <c r="F9" s="56">
        <v>0.20216666666666666</v>
      </c>
      <c r="G9" s="56" t="s">
        <v>1030</v>
      </c>
      <c r="H9" s="56">
        <v>0.19899999999999998</v>
      </c>
      <c r="I9" s="56">
        <v>0.20216666666666666</v>
      </c>
      <c r="J9" s="56">
        <v>0.20533333333333334</v>
      </c>
      <c r="K9" s="56">
        <v>0.16173333333333334</v>
      </c>
      <c r="L9" s="56">
        <v>0.24259999999999998</v>
      </c>
      <c r="M9" s="56">
        <v>0</v>
      </c>
      <c r="N9" s="56">
        <v>1</v>
      </c>
      <c r="O9" s="47" t="s">
        <v>1047</v>
      </c>
      <c r="P9" s="34" t="s">
        <v>1048</v>
      </c>
      <c r="Q9" s="39" t="s">
        <v>1033</v>
      </c>
    </row>
    <row r="10" spans="1:17" ht="43.2" x14ac:dyDescent="0.3">
      <c r="A10" s="50" t="s">
        <v>981</v>
      </c>
      <c r="B10" s="47">
        <v>1</v>
      </c>
      <c r="C10" s="34" t="s">
        <v>916</v>
      </c>
      <c r="D10" s="47">
        <v>9</v>
      </c>
      <c r="E10" s="34" t="s">
        <v>636</v>
      </c>
      <c r="F10" s="56">
        <v>0.46233619117153679</v>
      </c>
      <c r="G10" s="56" t="s">
        <v>1030</v>
      </c>
      <c r="H10" s="56">
        <v>0.26187366666666667</v>
      </c>
      <c r="I10" s="56">
        <v>0.46233619117153679</v>
      </c>
      <c r="J10" s="56">
        <v>0.5307779924242424</v>
      </c>
      <c r="K10" s="56">
        <v>0.36986895293722943</v>
      </c>
      <c r="L10" s="56">
        <v>0.55480342940584415</v>
      </c>
      <c r="M10" s="56">
        <v>0</v>
      </c>
      <c r="N10" s="56">
        <v>1</v>
      </c>
      <c r="O10" s="47" t="s">
        <v>1049</v>
      </c>
      <c r="P10" s="34" t="s">
        <v>1050</v>
      </c>
      <c r="Q10" s="39" t="s">
        <v>1033</v>
      </c>
    </row>
    <row r="11" spans="1:17" ht="28.8" x14ac:dyDescent="0.3">
      <c r="A11" s="50" t="s">
        <v>981</v>
      </c>
      <c r="B11" s="47">
        <v>1</v>
      </c>
      <c r="C11" s="34" t="s">
        <v>916</v>
      </c>
      <c r="D11" s="47">
        <v>10</v>
      </c>
      <c r="E11" s="34" t="s">
        <v>838</v>
      </c>
      <c r="F11" s="56">
        <v>0.34064023259259252</v>
      </c>
      <c r="G11" s="56" t="s">
        <v>1030</v>
      </c>
      <c r="H11" s="56">
        <v>0.27251218607407401</v>
      </c>
      <c r="I11" s="56">
        <v>0.34064023259259252</v>
      </c>
      <c r="J11" s="56">
        <v>0.40876827911111102</v>
      </c>
      <c r="K11" s="56">
        <v>0.27251218607407401</v>
      </c>
      <c r="L11" s="56">
        <v>0.40876827911111102</v>
      </c>
      <c r="M11" s="56">
        <v>0</v>
      </c>
      <c r="N11" s="56">
        <v>1</v>
      </c>
      <c r="O11" s="47" t="s">
        <v>1051</v>
      </c>
      <c r="P11" s="34" t="s">
        <v>1052</v>
      </c>
      <c r="Q11" s="39" t="s">
        <v>1036</v>
      </c>
    </row>
    <row r="12" spans="1:17" ht="28.8" x14ac:dyDescent="0.3">
      <c r="A12" s="50" t="s">
        <v>981</v>
      </c>
      <c r="B12" s="47">
        <v>1</v>
      </c>
      <c r="C12" s="34" t="s">
        <v>916</v>
      </c>
      <c r="D12" s="47">
        <v>11</v>
      </c>
      <c r="E12" s="34" t="s">
        <v>843</v>
      </c>
      <c r="F12" s="56">
        <v>9.8562241735537202E-3</v>
      </c>
      <c r="G12" s="56" t="s">
        <v>1030</v>
      </c>
      <c r="H12" s="56">
        <v>7.8849793388429765E-3</v>
      </c>
      <c r="I12" s="56">
        <v>9.8562241735537202E-3</v>
      </c>
      <c r="J12" s="56">
        <v>1.1827469008264464E-2</v>
      </c>
      <c r="K12" s="56">
        <v>7.8849793388429765E-3</v>
      </c>
      <c r="L12" s="56">
        <v>1.1827469008264464E-2</v>
      </c>
      <c r="M12" s="56">
        <v>0</v>
      </c>
      <c r="N12" s="56">
        <v>1</v>
      </c>
      <c r="O12" s="47" t="s">
        <v>1053</v>
      </c>
      <c r="P12" s="34" t="s">
        <v>1054</v>
      </c>
      <c r="Q12" s="39" t="s">
        <v>1036</v>
      </c>
    </row>
    <row r="13" spans="1:17" ht="43.2" x14ac:dyDescent="0.3">
      <c r="A13" s="50" t="s">
        <v>981</v>
      </c>
      <c r="B13" s="47">
        <v>2</v>
      </c>
      <c r="C13" s="34" t="s">
        <v>47</v>
      </c>
      <c r="D13" s="47">
        <v>1</v>
      </c>
      <c r="E13" s="34" t="s">
        <v>9</v>
      </c>
      <c r="F13" s="56">
        <v>0.16803900115226336</v>
      </c>
      <c r="G13" s="56" t="s">
        <v>1030</v>
      </c>
      <c r="H13" s="56">
        <v>0.14759953909465021</v>
      </c>
      <c r="I13" s="56">
        <v>0.16803900115226336</v>
      </c>
      <c r="J13" s="56">
        <v>0.215</v>
      </c>
      <c r="K13" s="56">
        <v>0.13443120092181068</v>
      </c>
      <c r="L13" s="56">
        <v>0.20164680138271604</v>
      </c>
      <c r="M13" s="56">
        <v>0</v>
      </c>
      <c r="N13" s="56">
        <v>1</v>
      </c>
      <c r="O13" s="47" t="s">
        <v>1031</v>
      </c>
      <c r="P13" s="34" t="s">
        <v>1055</v>
      </c>
      <c r="Q13" s="39" t="s">
        <v>1033</v>
      </c>
    </row>
    <row r="14" spans="1:17" ht="28.8" x14ac:dyDescent="0.3">
      <c r="A14" s="50" t="s">
        <v>981</v>
      </c>
      <c r="B14" s="47">
        <v>2</v>
      </c>
      <c r="C14" s="34" t="s">
        <v>47</v>
      </c>
      <c r="D14" s="47">
        <v>2</v>
      </c>
      <c r="E14" s="34" t="s">
        <v>341</v>
      </c>
      <c r="F14" s="56">
        <v>5.5630799999999994E-2</v>
      </c>
      <c r="G14" s="56" t="s">
        <v>1030</v>
      </c>
      <c r="H14" s="56">
        <v>4.4504639999999998E-2</v>
      </c>
      <c r="I14" s="56">
        <v>5.5630799999999994E-2</v>
      </c>
      <c r="J14" s="56">
        <v>6.675695999999999E-2</v>
      </c>
      <c r="K14" s="56">
        <v>4.4504639999999998E-2</v>
      </c>
      <c r="L14" s="56">
        <v>6.675695999999999E-2</v>
      </c>
      <c r="M14" s="56">
        <v>0</v>
      </c>
      <c r="N14" s="56">
        <v>1</v>
      </c>
      <c r="O14" s="47" t="s">
        <v>1034</v>
      </c>
      <c r="P14" s="34" t="s">
        <v>1056</v>
      </c>
      <c r="Q14" s="39" t="s">
        <v>1036</v>
      </c>
    </row>
    <row r="15" spans="1:17" ht="28.8" x14ac:dyDescent="0.3">
      <c r="A15" s="50" t="s">
        <v>981</v>
      </c>
      <c r="B15" s="47">
        <v>2</v>
      </c>
      <c r="C15" s="34" t="s">
        <v>47</v>
      </c>
      <c r="D15" s="47">
        <v>3</v>
      </c>
      <c r="E15" s="34" t="s">
        <v>392</v>
      </c>
      <c r="F15" s="56">
        <v>0.12192444444444446</v>
      </c>
      <c r="G15" s="56" t="s">
        <v>1030</v>
      </c>
      <c r="H15" s="56">
        <v>9.7539555555555574E-2</v>
      </c>
      <c r="I15" s="56">
        <v>0.12192444444444446</v>
      </c>
      <c r="J15" s="56">
        <v>0.14630933333333335</v>
      </c>
      <c r="K15" s="56">
        <v>9.7539555555555574E-2</v>
      </c>
      <c r="L15" s="56">
        <v>0.14630933333333335</v>
      </c>
      <c r="M15" s="56">
        <v>0</v>
      </c>
      <c r="N15" s="56">
        <v>1</v>
      </c>
      <c r="O15" s="47" t="s">
        <v>1037</v>
      </c>
      <c r="P15" s="34" t="s">
        <v>1057</v>
      </c>
      <c r="Q15" s="39" t="s">
        <v>1036</v>
      </c>
    </row>
    <row r="16" spans="1:17" ht="28.8" x14ac:dyDescent="0.3">
      <c r="A16" s="50" t="s">
        <v>981</v>
      </c>
      <c r="B16" s="47">
        <v>2</v>
      </c>
      <c r="C16" s="34" t="s">
        <v>47</v>
      </c>
      <c r="D16" s="47">
        <v>4</v>
      </c>
      <c r="E16" s="34" t="s">
        <v>455</v>
      </c>
      <c r="F16" s="56">
        <v>0.15101213333333335</v>
      </c>
      <c r="G16" s="56" t="s">
        <v>1030</v>
      </c>
      <c r="H16" s="56">
        <v>0.12080970666666668</v>
      </c>
      <c r="I16" s="56">
        <v>0.15101213333333335</v>
      </c>
      <c r="J16" s="56">
        <v>0.18121456000000002</v>
      </c>
      <c r="K16" s="56">
        <v>0.12080970666666668</v>
      </c>
      <c r="L16" s="56">
        <v>0.18121456000000002</v>
      </c>
      <c r="M16" s="56">
        <v>0</v>
      </c>
      <c r="N16" s="56">
        <v>1</v>
      </c>
      <c r="O16" s="47" t="s">
        <v>1039</v>
      </c>
      <c r="P16" s="34" t="s">
        <v>1058</v>
      </c>
      <c r="Q16" s="39" t="s">
        <v>1036</v>
      </c>
    </row>
    <row r="17" spans="1:17" ht="28.8" x14ac:dyDescent="0.3">
      <c r="A17" s="50" t="s">
        <v>981</v>
      </c>
      <c r="B17" s="47">
        <v>2</v>
      </c>
      <c r="C17" s="34" t="s">
        <v>47</v>
      </c>
      <c r="D17" s="47">
        <v>5</v>
      </c>
      <c r="E17" s="34" t="s">
        <v>458</v>
      </c>
      <c r="F17" s="56">
        <v>2.9610222222222225E-2</v>
      </c>
      <c r="G17" s="56" t="s">
        <v>1030</v>
      </c>
      <c r="H17" s="56">
        <v>2.3688177777777781E-2</v>
      </c>
      <c r="I17" s="56">
        <v>2.9610222222222225E-2</v>
      </c>
      <c r="J17" s="56">
        <v>3.5532266666666666E-2</v>
      </c>
      <c r="K17" s="56">
        <v>2.3688177777777781E-2</v>
      </c>
      <c r="L17" s="56">
        <v>3.5532266666666666E-2</v>
      </c>
      <c r="M17" s="56">
        <v>0</v>
      </c>
      <c r="N17" s="56">
        <v>1</v>
      </c>
      <c r="O17" s="47" t="s">
        <v>1041</v>
      </c>
      <c r="P17" s="34" t="s">
        <v>1059</v>
      </c>
      <c r="Q17" s="39" t="s">
        <v>1036</v>
      </c>
    </row>
    <row r="18" spans="1:17" ht="43.2" x14ac:dyDescent="0.3">
      <c r="A18" s="50" t="s">
        <v>981</v>
      </c>
      <c r="B18" s="47">
        <v>2</v>
      </c>
      <c r="C18" s="34" t="s">
        <v>47</v>
      </c>
      <c r="D18" s="47">
        <v>6</v>
      </c>
      <c r="E18" s="34" t="s">
        <v>459</v>
      </c>
      <c r="F18" s="56">
        <v>0.19028922222222225</v>
      </c>
      <c r="G18" s="56" t="s">
        <v>1030</v>
      </c>
      <c r="H18" s="56">
        <v>9.4056000000000015E-2</v>
      </c>
      <c r="I18" s="56">
        <v>0.19028922222222225</v>
      </c>
      <c r="J18" s="56">
        <v>0.28652244444444447</v>
      </c>
      <c r="K18" s="56">
        <v>0.15223137777777782</v>
      </c>
      <c r="L18" s="56">
        <v>0.22834706666666668</v>
      </c>
      <c r="M18" s="56">
        <v>0</v>
      </c>
      <c r="N18" s="56">
        <v>1</v>
      </c>
      <c r="O18" s="47" t="s">
        <v>1043</v>
      </c>
      <c r="P18" s="34" t="s">
        <v>1060</v>
      </c>
      <c r="Q18" s="39" t="s">
        <v>1033</v>
      </c>
    </row>
    <row r="19" spans="1:17" ht="28.8" x14ac:dyDescent="0.3">
      <c r="A19" s="50" t="s">
        <v>981</v>
      </c>
      <c r="B19" s="47">
        <v>2</v>
      </c>
      <c r="C19" s="34" t="s">
        <v>47</v>
      </c>
      <c r="D19" s="47">
        <v>7</v>
      </c>
      <c r="E19" s="34" t="s">
        <v>562</v>
      </c>
      <c r="F19" s="56">
        <v>4.1193044444444445E-2</v>
      </c>
      <c r="G19" s="56" t="s">
        <v>1030</v>
      </c>
      <c r="H19" s="56">
        <v>3.2954435555555557E-2</v>
      </c>
      <c r="I19" s="56">
        <v>4.1193044444444445E-2</v>
      </c>
      <c r="J19" s="56">
        <v>4.9431653333333332E-2</v>
      </c>
      <c r="K19" s="56">
        <v>3.2954435555555557E-2</v>
      </c>
      <c r="L19" s="56">
        <v>4.9431653333333332E-2</v>
      </c>
      <c r="M19" s="56">
        <v>0</v>
      </c>
      <c r="N19" s="56">
        <v>1</v>
      </c>
      <c r="O19" s="47" t="s">
        <v>1045</v>
      </c>
      <c r="P19" s="34" t="s">
        <v>1061</v>
      </c>
      <c r="Q19" s="39" t="s">
        <v>1036</v>
      </c>
    </row>
    <row r="20" spans="1:17" ht="28.8" x14ac:dyDescent="0.3">
      <c r="A20" s="50" t="s">
        <v>981</v>
      </c>
      <c r="B20" s="47">
        <v>2</v>
      </c>
      <c r="C20" s="34" t="s">
        <v>47</v>
      </c>
      <c r="D20" s="47">
        <v>8</v>
      </c>
      <c r="E20" s="34" t="s">
        <v>567</v>
      </c>
      <c r="F20" s="56">
        <v>9.0752428148148157E-2</v>
      </c>
      <c r="G20" s="56" t="s">
        <v>1030</v>
      </c>
      <c r="H20" s="56">
        <v>7.2601942518518522E-2</v>
      </c>
      <c r="I20" s="56">
        <v>9.0752428148148157E-2</v>
      </c>
      <c r="J20" s="56">
        <v>0.10890291377777779</v>
      </c>
      <c r="K20" s="56">
        <v>7.2601942518518522E-2</v>
      </c>
      <c r="L20" s="56">
        <v>0.10890291377777779</v>
      </c>
      <c r="M20" s="56">
        <v>0</v>
      </c>
      <c r="N20" s="56">
        <v>1</v>
      </c>
      <c r="O20" s="47" t="s">
        <v>1047</v>
      </c>
      <c r="P20" s="34" t="s">
        <v>1062</v>
      </c>
      <c r="Q20" s="39" t="s">
        <v>1036</v>
      </c>
    </row>
    <row r="21" spans="1:17" ht="43.2" x14ac:dyDescent="0.3">
      <c r="A21" s="50" t="s">
        <v>981</v>
      </c>
      <c r="B21" s="47">
        <v>2</v>
      </c>
      <c r="C21" s="34" t="s">
        <v>47</v>
      </c>
      <c r="D21" s="47">
        <v>9</v>
      </c>
      <c r="E21" s="34" t="s">
        <v>636</v>
      </c>
      <c r="F21" s="56">
        <v>0.30278429629629627</v>
      </c>
      <c r="G21" s="56" t="s">
        <v>1030</v>
      </c>
      <c r="H21" s="56">
        <v>0.18</v>
      </c>
      <c r="I21" s="56">
        <v>0.30278429629629627</v>
      </c>
      <c r="J21" s="56">
        <v>0.46299999999999997</v>
      </c>
      <c r="K21" s="56">
        <v>0.24222743703703703</v>
      </c>
      <c r="L21" s="56">
        <v>0.36334115555555552</v>
      </c>
      <c r="M21" s="56">
        <v>0</v>
      </c>
      <c r="N21" s="56">
        <v>1</v>
      </c>
      <c r="O21" s="47" t="s">
        <v>1049</v>
      </c>
      <c r="P21" s="34" t="s">
        <v>1063</v>
      </c>
      <c r="Q21" s="39" t="s">
        <v>1033</v>
      </c>
    </row>
    <row r="22" spans="1:17" ht="28.8" x14ac:dyDescent="0.3">
      <c r="A22" s="50" t="s">
        <v>981</v>
      </c>
      <c r="B22" s="47">
        <v>2</v>
      </c>
      <c r="C22" s="34" t="s">
        <v>47</v>
      </c>
      <c r="D22" s="47">
        <v>10</v>
      </c>
      <c r="E22" s="34" t="s">
        <v>838</v>
      </c>
      <c r="F22" s="56">
        <v>0.16765965827160495</v>
      </c>
      <c r="G22" s="56" t="s">
        <v>1030</v>
      </c>
      <c r="H22" s="56">
        <v>0.13412772661728398</v>
      </c>
      <c r="I22" s="56">
        <v>0.16765965827160495</v>
      </c>
      <c r="J22" s="56">
        <v>0.20119158992592592</v>
      </c>
      <c r="K22" s="56">
        <v>0.13412772661728398</v>
      </c>
      <c r="L22" s="56">
        <v>0.20119158992592592</v>
      </c>
      <c r="M22" s="56">
        <v>0</v>
      </c>
      <c r="N22" s="56">
        <v>1</v>
      </c>
      <c r="O22" s="47" t="s">
        <v>1051</v>
      </c>
      <c r="P22" s="34" t="s">
        <v>1064</v>
      </c>
      <c r="Q22" s="39" t="s">
        <v>1036</v>
      </c>
    </row>
    <row r="23" spans="1:17" ht="43.2" x14ac:dyDescent="0.3">
      <c r="A23" s="50" t="s">
        <v>981</v>
      </c>
      <c r="B23" s="47">
        <v>2</v>
      </c>
      <c r="C23" s="34" t="s">
        <v>47</v>
      </c>
      <c r="D23" s="47">
        <v>11</v>
      </c>
      <c r="E23" s="34" t="s">
        <v>843</v>
      </c>
      <c r="F23" s="56">
        <v>6.9870101010101007E-2</v>
      </c>
      <c r="G23" s="56" t="s">
        <v>1030</v>
      </c>
      <c r="H23" s="56">
        <v>2.0446666666666669E-2</v>
      </c>
      <c r="I23" s="56">
        <v>6.9870101010101007E-2</v>
      </c>
      <c r="J23" s="56">
        <v>0.10709999999999999</v>
      </c>
      <c r="K23" s="56">
        <v>5.5896080808080811E-2</v>
      </c>
      <c r="L23" s="56">
        <v>8.3844121212121203E-2</v>
      </c>
      <c r="M23" s="56">
        <v>0</v>
      </c>
      <c r="N23" s="56">
        <v>1</v>
      </c>
      <c r="O23" s="47" t="s">
        <v>1053</v>
      </c>
      <c r="P23" s="34" t="s">
        <v>1065</v>
      </c>
      <c r="Q23" s="39" t="s">
        <v>1033</v>
      </c>
    </row>
    <row r="24" spans="1:17" ht="28.8" x14ac:dyDescent="0.3">
      <c r="A24" s="50" t="s">
        <v>981</v>
      </c>
      <c r="B24" s="47">
        <v>3</v>
      </c>
      <c r="C24" s="34" t="s">
        <v>64</v>
      </c>
      <c r="D24" s="47">
        <v>1</v>
      </c>
      <c r="E24" s="34" t="s">
        <v>9</v>
      </c>
      <c r="F24" s="56">
        <v>0.10688887000000001</v>
      </c>
      <c r="G24" s="56" t="s">
        <v>1030</v>
      </c>
      <c r="H24" s="56">
        <v>8.5511096000000009E-2</v>
      </c>
      <c r="I24" s="56">
        <v>0.10688887000000001</v>
      </c>
      <c r="J24" s="56">
        <v>0.12826664400000001</v>
      </c>
      <c r="K24" s="56">
        <v>8.5511096000000009E-2</v>
      </c>
      <c r="L24" s="56">
        <v>0.12826664400000001</v>
      </c>
      <c r="M24" s="56">
        <v>0</v>
      </c>
      <c r="N24" s="56">
        <v>1</v>
      </c>
      <c r="O24" s="47" t="s">
        <v>1031</v>
      </c>
      <c r="P24" s="34" t="s">
        <v>1066</v>
      </c>
      <c r="Q24" s="39" t="s">
        <v>1036</v>
      </c>
    </row>
    <row r="25" spans="1:17" x14ac:dyDescent="0.3">
      <c r="A25" s="50" t="s">
        <v>1000</v>
      </c>
      <c r="B25" s="47">
        <v>3</v>
      </c>
      <c r="C25" s="34" t="s">
        <v>64</v>
      </c>
      <c r="D25" s="47">
        <v>2</v>
      </c>
      <c r="E25" s="34" t="s">
        <v>341</v>
      </c>
      <c r="F25" s="56">
        <v>0</v>
      </c>
      <c r="G25" s="56" t="s">
        <v>1067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1</v>
      </c>
      <c r="O25" s="47" t="s">
        <v>1034</v>
      </c>
      <c r="P25" s="34" t="s">
        <v>1068</v>
      </c>
      <c r="Q25" s="39" t="s">
        <v>1069</v>
      </c>
    </row>
    <row r="26" spans="1:17" ht="28.8" x14ac:dyDescent="0.3">
      <c r="A26" s="50" t="s">
        <v>981</v>
      </c>
      <c r="B26" s="47">
        <v>3</v>
      </c>
      <c r="C26" s="34" t="s">
        <v>64</v>
      </c>
      <c r="D26" s="47">
        <v>3</v>
      </c>
      <c r="E26" s="34" t="s">
        <v>392</v>
      </c>
      <c r="F26" s="56">
        <v>0.14630000000000001</v>
      </c>
      <c r="G26" s="56" t="s">
        <v>1030</v>
      </c>
      <c r="H26" s="56">
        <v>0.11704000000000002</v>
      </c>
      <c r="I26" s="56">
        <v>0.14630000000000001</v>
      </c>
      <c r="J26" s="56">
        <v>0.17556000000000002</v>
      </c>
      <c r="K26" s="56">
        <v>0.11704000000000002</v>
      </c>
      <c r="L26" s="56">
        <v>0.17556000000000002</v>
      </c>
      <c r="M26" s="56">
        <v>0</v>
      </c>
      <c r="N26" s="56">
        <v>1</v>
      </c>
      <c r="O26" s="47" t="s">
        <v>1037</v>
      </c>
      <c r="P26" s="34" t="s">
        <v>1070</v>
      </c>
      <c r="Q26" s="39" t="s">
        <v>1036</v>
      </c>
    </row>
    <row r="27" spans="1:17" ht="28.8" x14ac:dyDescent="0.3">
      <c r="A27" s="50" t="s">
        <v>981</v>
      </c>
      <c r="B27" s="47">
        <v>3</v>
      </c>
      <c r="C27" s="34" t="s">
        <v>64</v>
      </c>
      <c r="D27" s="47">
        <v>4</v>
      </c>
      <c r="E27" s="34" t="s">
        <v>455</v>
      </c>
      <c r="F27" s="56">
        <v>0.181203</v>
      </c>
      <c r="G27" s="56" t="s">
        <v>1030</v>
      </c>
      <c r="H27" s="56">
        <v>0.14496240000000002</v>
      </c>
      <c r="I27" s="56">
        <v>0.181203</v>
      </c>
      <c r="J27" s="56">
        <v>0.21744359999999999</v>
      </c>
      <c r="K27" s="56">
        <v>0.14496240000000002</v>
      </c>
      <c r="L27" s="56">
        <v>0.21744359999999999</v>
      </c>
      <c r="M27" s="56">
        <v>0</v>
      </c>
      <c r="N27" s="56">
        <v>1</v>
      </c>
      <c r="O27" s="47" t="s">
        <v>1039</v>
      </c>
      <c r="P27" s="34" t="s">
        <v>1071</v>
      </c>
      <c r="Q27" s="39" t="s">
        <v>1036</v>
      </c>
    </row>
    <row r="28" spans="1:17" ht="28.8" x14ac:dyDescent="0.3">
      <c r="A28" s="50" t="s">
        <v>981</v>
      </c>
      <c r="B28" s="47">
        <v>3</v>
      </c>
      <c r="C28" s="34" t="s">
        <v>64</v>
      </c>
      <c r="D28" s="47">
        <v>5</v>
      </c>
      <c r="E28" s="34" t="s">
        <v>458</v>
      </c>
      <c r="F28" s="56">
        <v>3.5529999999999999E-2</v>
      </c>
      <c r="G28" s="56" t="s">
        <v>1030</v>
      </c>
      <c r="H28" s="56">
        <v>2.8424000000000001E-2</v>
      </c>
      <c r="I28" s="56">
        <v>3.5529999999999999E-2</v>
      </c>
      <c r="J28" s="56">
        <v>4.2636E-2</v>
      </c>
      <c r="K28" s="56">
        <v>2.8424000000000001E-2</v>
      </c>
      <c r="L28" s="56">
        <v>4.2636E-2</v>
      </c>
      <c r="M28" s="56">
        <v>0</v>
      </c>
      <c r="N28" s="56">
        <v>1</v>
      </c>
      <c r="O28" s="47" t="s">
        <v>1041</v>
      </c>
      <c r="P28" s="34" t="s">
        <v>1072</v>
      </c>
      <c r="Q28" s="39" t="s">
        <v>1036</v>
      </c>
    </row>
    <row r="29" spans="1:17" ht="28.8" x14ac:dyDescent="0.3">
      <c r="A29" s="50" t="s">
        <v>981</v>
      </c>
      <c r="B29" s="47">
        <v>3</v>
      </c>
      <c r="C29" s="34" t="s">
        <v>64</v>
      </c>
      <c r="D29" s="47">
        <v>6</v>
      </c>
      <c r="E29" s="34" t="s">
        <v>459</v>
      </c>
      <c r="F29" s="56">
        <v>0.16723788888888888</v>
      </c>
      <c r="G29" s="56" t="s">
        <v>1030</v>
      </c>
      <c r="H29" s="56">
        <v>0.13379031111111112</v>
      </c>
      <c r="I29" s="56">
        <v>0.16723788888888888</v>
      </c>
      <c r="J29" s="56">
        <v>0.20068546666666665</v>
      </c>
      <c r="K29" s="56">
        <v>0.13379031111111112</v>
      </c>
      <c r="L29" s="56">
        <v>0.20068546666666665</v>
      </c>
      <c r="M29" s="56">
        <v>0</v>
      </c>
      <c r="N29" s="56">
        <v>1</v>
      </c>
      <c r="O29" s="47" t="s">
        <v>1043</v>
      </c>
      <c r="P29" s="34" t="s">
        <v>1073</v>
      </c>
      <c r="Q29" s="39" t="s">
        <v>1036</v>
      </c>
    </row>
    <row r="30" spans="1:17" ht="28.8" x14ac:dyDescent="0.3">
      <c r="A30" s="50" t="s">
        <v>981</v>
      </c>
      <c r="B30" s="47">
        <v>3</v>
      </c>
      <c r="C30" s="34" t="s">
        <v>64</v>
      </c>
      <c r="D30" s="47">
        <v>7</v>
      </c>
      <c r="E30" s="34" t="s">
        <v>562</v>
      </c>
      <c r="F30" s="56">
        <v>4.9428499999999993E-2</v>
      </c>
      <c r="G30" s="56" t="s">
        <v>1030</v>
      </c>
      <c r="H30" s="56">
        <v>3.9542799999999996E-2</v>
      </c>
      <c r="I30" s="56">
        <v>4.9428499999999993E-2</v>
      </c>
      <c r="J30" s="56">
        <v>5.9314199999999991E-2</v>
      </c>
      <c r="K30" s="56">
        <v>3.9542799999999996E-2</v>
      </c>
      <c r="L30" s="56">
        <v>5.9314199999999991E-2</v>
      </c>
      <c r="M30" s="56">
        <v>0</v>
      </c>
      <c r="N30" s="56">
        <v>1</v>
      </c>
      <c r="O30" s="47" t="s">
        <v>1045</v>
      </c>
      <c r="P30" s="34" t="s">
        <v>1074</v>
      </c>
      <c r="Q30" s="39" t="s">
        <v>1036</v>
      </c>
    </row>
    <row r="31" spans="1:17" ht="28.8" x14ac:dyDescent="0.3">
      <c r="A31" s="50" t="s">
        <v>981</v>
      </c>
      <c r="B31" s="47">
        <v>3</v>
      </c>
      <c r="C31" s="34" t="s">
        <v>64</v>
      </c>
      <c r="D31" s="47">
        <v>8</v>
      </c>
      <c r="E31" s="34" t="s">
        <v>567</v>
      </c>
      <c r="F31" s="56">
        <v>0.10889596666666666</v>
      </c>
      <c r="G31" s="56" t="s">
        <v>1030</v>
      </c>
      <c r="H31" s="56">
        <v>8.7116773333333342E-2</v>
      </c>
      <c r="I31" s="56">
        <v>0.10889596666666666</v>
      </c>
      <c r="J31" s="56">
        <v>0.13067515999999998</v>
      </c>
      <c r="K31" s="56">
        <v>8.7116773333333342E-2</v>
      </c>
      <c r="L31" s="56">
        <v>0.13067515999999998</v>
      </c>
      <c r="M31" s="56">
        <v>0</v>
      </c>
      <c r="N31" s="56">
        <v>1</v>
      </c>
      <c r="O31" s="47" t="s">
        <v>1047</v>
      </c>
      <c r="P31" s="34" t="s">
        <v>1075</v>
      </c>
      <c r="Q31" s="39" t="s">
        <v>1036</v>
      </c>
    </row>
    <row r="32" spans="1:17" ht="28.8" x14ac:dyDescent="0.3">
      <c r="A32" s="50" t="s">
        <v>981</v>
      </c>
      <c r="B32" s="47">
        <v>3</v>
      </c>
      <c r="C32" s="34" t="s">
        <v>64</v>
      </c>
      <c r="D32" s="47">
        <v>9</v>
      </c>
      <c r="E32" s="34" t="s">
        <v>636</v>
      </c>
      <c r="F32" s="56">
        <v>0.15884000000000001</v>
      </c>
      <c r="G32" s="56" t="s">
        <v>1030</v>
      </c>
      <c r="H32" s="56">
        <v>0.12707200000000002</v>
      </c>
      <c r="I32" s="56">
        <v>0.15884000000000001</v>
      </c>
      <c r="J32" s="56">
        <v>0.190608</v>
      </c>
      <c r="K32" s="56">
        <v>0.12707200000000002</v>
      </c>
      <c r="L32" s="56">
        <v>0.190608</v>
      </c>
      <c r="M32" s="56">
        <v>0</v>
      </c>
      <c r="N32" s="56">
        <v>1</v>
      </c>
      <c r="O32" s="47" t="s">
        <v>1049</v>
      </c>
      <c r="P32" s="34" t="s">
        <v>1076</v>
      </c>
      <c r="Q32" s="39" t="s">
        <v>1036</v>
      </c>
    </row>
    <row r="33" spans="1:17" ht="28.8" x14ac:dyDescent="0.3">
      <c r="A33" s="50" t="s">
        <v>981</v>
      </c>
      <c r="B33" s="47">
        <v>3</v>
      </c>
      <c r="C33" s="34" t="s">
        <v>64</v>
      </c>
      <c r="D33" s="47">
        <v>10</v>
      </c>
      <c r="E33" s="34" t="s">
        <v>838</v>
      </c>
      <c r="F33" s="56">
        <v>0.20117875555555553</v>
      </c>
      <c r="G33" s="56" t="s">
        <v>1030</v>
      </c>
      <c r="H33" s="56">
        <v>0.16094300444444443</v>
      </c>
      <c r="I33" s="56">
        <v>0.20117875555555553</v>
      </c>
      <c r="J33" s="56">
        <v>0.24141450666666664</v>
      </c>
      <c r="K33" s="56">
        <v>0.16094300444444443</v>
      </c>
      <c r="L33" s="56">
        <v>0.24141450666666664</v>
      </c>
      <c r="M33" s="56">
        <v>0</v>
      </c>
      <c r="N33" s="56">
        <v>1</v>
      </c>
      <c r="O33" s="47" t="s">
        <v>1051</v>
      </c>
      <c r="P33" s="34" t="s">
        <v>1077</v>
      </c>
      <c r="Q33" s="39" t="s">
        <v>1036</v>
      </c>
    </row>
    <row r="34" spans="1:17" x14ac:dyDescent="0.3">
      <c r="A34" s="50" t="s">
        <v>1000</v>
      </c>
      <c r="B34" s="47">
        <v>3</v>
      </c>
      <c r="C34" s="34" t="s">
        <v>64</v>
      </c>
      <c r="D34" s="47">
        <v>11</v>
      </c>
      <c r="E34" s="34" t="s">
        <v>843</v>
      </c>
      <c r="F34" s="56">
        <v>0</v>
      </c>
      <c r="G34" s="56" t="s">
        <v>1067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1</v>
      </c>
      <c r="O34" s="47" t="s">
        <v>1053</v>
      </c>
      <c r="P34" s="34" t="s">
        <v>1068</v>
      </c>
      <c r="Q34" s="39" t="s">
        <v>1069</v>
      </c>
    </row>
    <row r="35" spans="1:17" ht="43.2" x14ac:dyDescent="0.3">
      <c r="A35" s="50" t="s">
        <v>981</v>
      </c>
      <c r="B35" s="47">
        <v>4</v>
      </c>
      <c r="C35" s="34" t="s">
        <v>67</v>
      </c>
      <c r="D35" s="47">
        <v>1</v>
      </c>
      <c r="E35" s="34" t="s">
        <v>9</v>
      </c>
      <c r="F35" s="56">
        <v>7.1444493113859669E-2</v>
      </c>
      <c r="G35" s="56" t="s">
        <v>1030</v>
      </c>
      <c r="H35" s="56">
        <v>6.8691719298245635E-2</v>
      </c>
      <c r="I35" s="56">
        <v>7.1444493113859669E-2</v>
      </c>
      <c r="J35" s="56">
        <v>7.3274315621929834E-2</v>
      </c>
      <c r="K35" s="56">
        <v>5.7155594491087737E-2</v>
      </c>
      <c r="L35" s="56">
        <v>8.5733391736631595E-2</v>
      </c>
      <c r="M35" s="56">
        <v>0</v>
      </c>
      <c r="N35" s="56">
        <v>1</v>
      </c>
      <c r="O35" s="47" t="s">
        <v>1031</v>
      </c>
      <c r="P35" s="34" t="s">
        <v>1078</v>
      </c>
      <c r="Q35" s="39" t="s">
        <v>1033</v>
      </c>
    </row>
    <row r="36" spans="1:17" ht="28.8" x14ac:dyDescent="0.3">
      <c r="A36" s="50" t="s">
        <v>981</v>
      </c>
      <c r="B36" s="47">
        <v>4</v>
      </c>
      <c r="C36" s="34" t="s">
        <v>67</v>
      </c>
      <c r="D36" s="47">
        <v>2</v>
      </c>
      <c r="E36" s="34" t="s">
        <v>341</v>
      </c>
      <c r="F36" s="56">
        <v>7.272E-4</v>
      </c>
      <c r="G36" s="56" t="s">
        <v>1030</v>
      </c>
      <c r="H36" s="56">
        <v>5.8176000000000007E-4</v>
      </c>
      <c r="I36" s="56">
        <v>7.272E-4</v>
      </c>
      <c r="J36" s="56">
        <v>8.7263999999999994E-4</v>
      </c>
      <c r="K36" s="56">
        <v>5.8176000000000007E-4</v>
      </c>
      <c r="L36" s="56">
        <v>8.7263999999999994E-4</v>
      </c>
      <c r="M36" s="56">
        <v>0</v>
      </c>
      <c r="N36" s="56">
        <v>1</v>
      </c>
      <c r="O36" s="47" t="s">
        <v>1034</v>
      </c>
      <c r="P36" s="34" t="s">
        <v>1079</v>
      </c>
      <c r="Q36" s="39" t="s">
        <v>1036</v>
      </c>
    </row>
    <row r="37" spans="1:17" ht="28.8" x14ac:dyDescent="0.3">
      <c r="A37" s="50" t="s">
        <v>981</v>
      </c>
      <c r="B37" s="47">
        <v>4</v>
      </c>
      <c r="C37" s="34" t="s">
        <v>67</v>
      </c>
      <c r="D37" s="47">
        <v>3</v>
      </c>
      <c r="E37" s="34" t="s">
        <v>392</v>
      </c>
      <c r="F37" s="56">
        <v>0.27500000000000002</v>
      </c>
      <c r="G37" s="56" t="s">
        <v>1030</v>
      </c>
      <c r="H37" s="56">
        <v>0.22000000000000003</v>
      </c>
      <c r="I37" s="56">
        <v>0.27500000000000002</v>
      </c>
      <c r="J37" s="56">
        <v>0.33</v>
      </c>
      <c r="K37" s="56">
        <v>0.22000000000000003</v>
      </c>
      <c r="L37" s="56">
        <v>0.33</v>
      </c>
      <c r="M37" s="56">
        <v>0</v>
      </c>
      <c r="N37" s="56">
        <v>1</v>
      </c>
      <c r="O37" s="47" t="s">
        <v>1037</v>
      </c>
      <c r="P37" s="34" t="s">
        <v>1080</v>
      </c>
      <c r="Q37" s="39" t="s">
        <v>1036</v>
      </c>
    </row>
    <row r="38" spans="1:17" ht="28.8" x14ac:dyDescent="0.3">
      <c r="A38" s="50" t="s">
        <v>981</v>
      </c>
      <c r="B38" s="47">
        <v>4</v>
      </c>
      <c r="C38" s="34" t="s">
        <v>67</v>
      </c>
      <c r="D38" s="47">
        <v>4</v>
      </c>
      <c r="E38" s="34" t="s">
        <v>455</v>
      </c>
      <c r="F38" s="56">
        <v>6.9317410526315792E-2</v>
      </c>
      <c r="G38" s="56" t="s">
        <v>1030</v>
      </c>
      <c r="H38" s="56">
        <v>5.5453928421052637E-2</v>
      </c>
      <c r="I38" s="56">
        <v>6.9317410526315792E-2</v>
      </c>
      <c r="J38" s="56">
        <v>8.3180892631578948E-2</v>
      </c>
      <c r="K38" s="56">
        <v>5.5453928421052637E-2</v>
      </c>
      <c r="L38" s="56">
        <v>8.3180892631578948E-2</v>
      </c>
      <c r="M38" s="56">
        <v>0</v>
      </c>
      <c r="N38" s="56">
        <v>1</v>
      </c>
      <c r="O38" s="47" t="s">
        <v>1039</v>
      </c>
      <c r="P38" s="34" t="s">
        <v>1081</v>
      </c>
      <c r="Q38" s="39" t="s">
        <v>1036</v>
      </c>
    </row>
    <row r="39" spans="1:17" ht="28.8" x14ac:dyDescent="0.3">
      <c r="A39" s="50" t="s">
        <v>981</v>
      </c>
      <c r="B39" s="47">
        <v>4</v>
      </c>
      <c r="C39" s="34" t="s">
        <v>67</v>
      </c>
      <c r="D39" s="47">
        <v>5</v>
      </c>
      <c r="E39" s="34" t="s">
        <v>458</v>
      </c>
      <c r="F39" s="56">
        <v>1.3269991228070179E-2</v>
      </c>
      <c r="G39" s="56" t="s">
        <v>1030</v>
      </c>
      <c r="H39" s="56">
        <v>1.0615992982456144E-2</v>
      </c>
      <c r="I39" s="56">
        <v>1.3269991228070179E-2</v>
      </c>
      <c r="J39" s="56">
        <v>1.5923989473684213E-2</v>
      </c>
      <c r="K39" s="56">
        <v>1.0615992982456144E-2</v>
      </c>
      <c r="L39" s="56">
        <v>1.5923989473684213E-2</v>
      </c>
      <c r="M39" s="56">
        <v>0</v>
      </c>
      <c r="N39" s="56">
        <v>1</v>
      </c>
      <c r="O39" s="47" t="s">
        <v>1041</v>
      </c>
      <c r="P39" s="34" t="s">
        <v>1082</v>
      </c>
      <c r="Q39" s="39" t="s">
        <v>1036</v>
      </c>
    </row>
    <row r="40" spans="1:17" ht="28.8" x14ac:dyDescent="0.3">
      <c r="A40" s="50" t="s">
        <v>981</v>
      </c>
      <c r="B40" s="47">
        <v>4</v>
      </c>
      <c r="C40" s="34" t="s">
        <v>67</v>
      </c>
      <c r="D40" s="47">
        <v>6</v>
      </c>
      <c r="E40" s="34" t="s">
        <v>459</v>
      </c>
      <c r="F40" s="56">
        <v>0.12489403508771933</v>
      </c>
      <c r="G40" s="56" t="s">
        <v>1030</v>
      </c>
      <c r="H40" s="56">
        <v>9.9915228070175471E-2</v>
      </c>
      <c r="I40" s="56">
        <v>0.12489403508771933</v>
      </c>
      <c r="J40" s="56">
        <v>0.14987284210526319</v>
      </c>
      <c r="K40" s="56">
        <v>9.9915228070175471E-2</v>
      </c>
      <c r="L40" s="56">
        <v>0.14987284210526319</v>
      </c>
      <c r="M40" s="56">
        <v>0</v>
      </c>
      <c r="N40" s="56">
        <v>1</v>
      </c>
      <c r="O40" s="47" t="s">
        <v>1043</v>
      </c>
      <c r="P40" s="34" t="s">
        <v>1083</v>
      </c>
      <c r="Q40" s="39" t="s">
        <v>1036</v>
      </c>
    </row>
    <row r="41" spans="1:17" ht="28.8" x14ac:dyDescent="0.3">
      <c r="A41" s="50" t="s">
        <v>981</v>
      </c>
      <c r="B41" s="47">
        <v>4</v>
      </c>
      <c r="C41" s="34" t="s">
        <v>67</v>
      </c>
      <c r="D41" s="47">
        <v>7</v>
      </c>
      <c r="E41" s="34" t="s">
        <v>562</v>
      </c>
      <c r="F41" s="56">
        <v>1.8460899561403513E-2</v>
      </c>
      <c r="G41" s="56" t="s">
        <v>1030</v>
      </c>
      <c r="H41" s="56">
        <v>1.4768719649122811E-2</v>
      </c>
      <c r="I41" s="56">
        <v>1.8460899561403513E-2</v>
      </c>
      <c r="J41" s="56">
        <v>2.2153079473684216E-2</v>
      </c>
      <c r="K41" s="56">
        <v>1.4768719649122811E-2</v>
      </c>
      <c r="L41" s="56">
        <v>2.2153079473684216E-2</v>
      </c>
      <c r="M41" s="56">
        <v>0</v>
      </c>
      <c r="N41" s="56">
        <v>1</v>
      </c>
      <c r="O41" s="47" t="s">
        <v>1045</v>
      </c>
      <c r="P41" s="34" t="s">
        <v>1084</v>
      </c>
      <c r="Q41" s="39" t="s">
        <v>1036</v>
      </c>
    </row>
    <row r="42" spans="1:17" ht="28.8" x14ac:dyDescent="0.3">
      <c r="A42" s="50" t="s">
        <v>981</v>
      </c>
      <c r="B42" s="47">
        <v>4</v>
      </c>
      <c r="C42" s="34" t="s">
        <v>67</v>
      </c>
      <c r="D42" s="47">
        <v>8</v>
      </c>
      <c r="E42" s="34" t="s">
        <v>567</v>
      </c>
      <c r="F42" s="56">
        <v>4.1657072046783636E-2</v>
      </c>
      <c r="G42" s="56" t="s">
        <v>1030</v>
      </c>
      <c r="H42" s="56">
        <v>3.3325657637426911E-2</v>
      </c>
      <c r="I42" s="56">
        <v>4.1657072046783636E-2</v>
      </c>
      <c r="J42" s="56">
        <v>4.998848645614036E-2</v>
      </c>
      <c r="K42" s="56">
        <v>3.3325657637426911E-2</v>
      </c>
      <c r="L42" s="56">
        <v>4.998848645614036E-2</v>
      </c>
      <c r="M42" s="56">
        <v>0</v>
      </c>
      <c r="N42" s="56">
        <v>1</v>
      </c>
      <c r="O42" s="47" t="s">
        <v>1047</v>
      </c>
      <c r="P42" s="34" t="s">
        <v>1085</v>
      </c>
      <c r="Q42" s="39" t="s">
        <v>1036</v>
      </c>
    </row>
    <row r="43" spans="1:17" ht="43.2" x14ac:dyDescent="0.3">
      <c r="A43" s="50" t="s">
        <v>981</v>
      </c>
      <c r="B43" s="47">
        <v>4</v>
      </c>
      <c r="C43" s="34" t="s">
        <v>67</v>
      </c>
      <c r="D43" s="47">
        <v>9</v>
      </c>
      <c r="E43" s="34" t="s">
        <v>636</v>
      </c>
      <c r="F43" s="56">
        <v>0.11537559842105265</v>
      </c>
      <c r="G43" s="56" t="s">
        <v>1030</v>
      </c>
      <c r="H43" s="56">
        <v>6.8691719298245635E-2</v>
      </c>
      <c r="I43" s="56">
        <v>0.11537559842105265</v>
      </c>
      <c r="J43" s="56">
        <v>0.13738343859649127</v>
      </c>
      <c r="K43" s="56">
        <v>9.230047873684212E-2</v>
      </c>
      <c r="L43" s="56">
        <v>0.13845071810526316</v>
      </c>
      <c r="M43" s="56">
        <v>0</v>
      </c>
      <c r="N43" s="56">
        <v>1</v>
      </c>
      <c r="O43" s="47" t="s">
        <v>1049</v>
      </c>
      <c r="P43" s="34" t="s">
        <v>1086</v>
      </c>
      <c r="Q43" s="39" t="s">
        <v>1033</v>
      </c>
    </row>
    <row r="44" spans="1:17" ht="28.8" x14ac:dyDescent="0.3">
      <c r="A44" s="50" t="s">
        <v>981</v>
      </c>
      <c r="B44" s="47">
        <v>4</v>
      </c>
      <c r="C44" s="34" t="s">
        <v>67</v>
      </c>
      <c r="D44" s="47">
        <v>10</v>
      </c>
      <c r="E44" s="34" t="s">
        <v>838</v>
      </c>
      <c r="F44" s="56">
        <v>7.695893769980508E-2</v>
      </c>
      <c r="G44" s="56" t="s">
        <v>1030</v>
      </c>
      <c r="H44" s="56">
        <v>6.156715015984407E-2</v>
      </c>
      <c r="I44" s="56">
        <v>7.695893769980508E-2</v>
      </c>
      <c r="J44" s="56">
        <v>9.235072523976609E-2</v>
      </c>
      <c r="K44" s="56">
        <v>6.156715015984407E-2</v>
      </c>
      <c r="L44" s="56">
        <v>9.235072523976609E-2</v>
      </c>
      <c r="M44" s="56">
        <v>0</v>
      </c>
      <c r="N44" s="56">
        <v>1</v>
      </c>
      <c r="O44" s="47" t="s">
        <v>1051</v>
      </c>
      <c r="P44" s="34" t="s">
        <v>1087</v>
      </c>
      <c r="Q44" s="39" t="s">
        <v>1036</v>
      </c>
    </row>
    <row r="45" spans="1:17" ht="28.8" x14ac:dyDescent="0.3">
      <c r="A45" s="50" t="s">
        <v>981</v>
      </c>
      <c r="B45" s="47">
        <v>4</v>
      </c>
      <c r="C45" s="34" t="s">
        <v>67</v>
      </c>
      <c r="D45" s="47">
        <v>11</v>
      </c>
      <c r="E45" s="34" t="s">
        <v>843</v>
      </c>
      <c r="F45" s="56">
        <v>4.8590909090909099E-4</v>
      </c>
      <c r="G45" s="56" t="s">
        <v>1030</v>
      </c>
      <c r="H45" s="56">
        <v>3.8872727272727279E-4</v>
      </c>
      <c r="I45" s="56">
        <v>4.8590909090909099E-4</v>
      </c>
      <c r="J45" s="56">
        <v>5.8309090909090919E-4</v>
      </c>
      <c r="K45" s="56">
        <v>3.8872727272727279E-4</v>
      </c>
      <c r="L45" s="56">
        <v>5.8309090909090919E-4</v>
      </c>
      <c r="M45" s="56">
        <v>0</v>
      </c>
      <c r="N45" s="56">
        <v>1</v>
      </c>
      <c r="O45" s="47" t="s">
        <v>1053</v>
      </c>
      <c r="P45" s="34" t="s">
        <v>1088</v>
      </c>
      <c r="Q45" s="39" t="s">
        <v>1036</v>
      </c>
    </row>
    <row r="46" spans="1:17" ht="43.2" x14ac:dyDescent="0.3">
      <c r="A46" s="50" t="s">
        <v>981</v>
      </c>
      <c r="B46" s="47">
        <v>5</v>
      </c>
      <c r="C46" s="34" t="s">
        <v>290</v>
      </c>
      <c r="D46" s="47">
        <v>1</v>
      </c>
      <c r="E46" s="34" t="s">
        <v>9</v>
      </c>
      <c r="F46" s="56">
        <v>6.3954511388100849E-2</v>
      </c>
      <c r="G46" s="56" t="s">
        <v>1030</v>
      </c>
      <c r="H46" s="56">
        <v>5.5934689442868356E-2</v>
      </c>
      <c r="I46" s="56">
        <v>6.3954511388100849E-2</v>
      </c>
      <c r="J46" s="56">
        <v>7.1974333333333348E-2</v>
      </c>
      <c r="K46" s="56">
        <v>5.1163609110480679E-2</v>
      </c>
      <c r="L46" s="56">
        <v>7.6745413665721018E-2</v>
      </c>
      <c r="M46" s="56">
        <v>0</v>
      </c>
      <c r="N46" s="56">
        <v>1</v>
      </c>
      <c r="O46" s="47" t="s">
        <v>1031</v>
      </c>
      <c r="P46" s="34" t="s">
        <v>1089</v>
      </c>
      <c r="Q46" s="39" t="s">
        <v>1033</v>
      </c>
    </row>
    <row r="47" spans="1:17" ht="28.8" x14ac:dyDescent="0.3">
      <c r="A47" s="50" t="s">
        <v>981</v>
      </c>
      <c r="B47" s="47">
        <v>5</v>
      </c>
      <c r="C47" s="34" t="s">
        <v>290</v>
      </c>
      <c r="D47" s="47">
        <v>2</v>
      </c>
      <c r="E47" s="34" t="s">
        <v>341</v>
      </c>
      <c r="F47" s="56">
        <v>7.5893236363636465E-4</v>
      </c>
      <c r="G47" s="56" t="s">
        <v>1030</v>
      </c>
      <c r="H47" s="56">
        <v>6.0714589090909174E-4</v>
      </c>
      <c r="I47" s="56">
        <v>7.5893236363636465E-4</v>
      </c>
      <c r="J47" s="56">
        <v>9.1071883636363756E-4</v>
      </c>
      <c r="K47" s="56">
        <v>6.0714589090909174E-4</v>
      </c>
      <c r="L47" s="56">
        <v>9.1071883636363756E-4</v>
      </c>
      <c r="M47" s="56">
        <v>0</v>
      </c>
      <c r="N47" s="56">
        <v>1</v>
      </c>
      <c r="O47" s="47" t="s">
        <v>1034</v>
      </c>
      <c r="P47" s="34" t="s">
        <v>1090</v>
      </c>
      <c r="Q47" s="39" t="s">
        <v>1036</v>
      </c>
    </row>
    <row r="48" spans="1:17" ht="28.8" x14ac:dyDescent="0.3">
      <c r="A48" s="50" t="s">
        <v>981</v>
      </c>
      <c r="B48" s="47">
        <v>5</v>
      </c>
      <c r="C48" s="34" t="s">
        <v>290</v>
      </c>
      <c r="D48" s="47">
        <v>3</v>
      </c>
      <c r="E48" s="34" t="s">
        <v>392</v>
      </c>
      <c r="F48" s="56">
        <v>4.1060576355555559E-2</v>
      </c>
      <c r="G48" s="56" t="s">
        <v>1030</v>
      </c>
      <c r="H48" s="56">
        <v>3.2848461084444447E-2</v>
      </c>
      <c r="I48" s="56">
        <v>4.1060576355555559E-2</v>
      </c>
      <c r="J48" s="56">
        <v>4.927269162666667E-2</v>
      </c>
      <c r="K48" s="56">
        <v>3.2848461084444447E-2</v>
      </c>
      <c r="L48" s="56">
        <v>4.927269162666667E-2</v>
      </c>
      <c r="M48" s="56">
        <v>0</v>
      </c>
      <c r="N48" s="56">
        <v>1</v>
      </c>
      <c r="O48" s="47" t="s">
        <v>1037</v>
      </c>
      <c r="P48" s="34" t="s">
        <v>1091</v>
      </c>
      <c r="Q48" s="39" t="s">
        <v>1036</v>
      </c>
    </row>
    <row r="49" spans="1:17" ht="28.8" x14ac:dyDescent="0.3">
      <c r="A49" s="50" t="s">
        <v>981</v>
      </c>
      <c r="B49" s="47">
        <v>5</v>
      </c>
      <c r="C49" s="34" t="s">
        <v>290</v>
      </c>
      <c r="D49" s="47">
        <v>4</v>
      </c>
      <c r="E49" s="34" t="s">
        <v>455</v>
      </c>
      <c r="F49" s="56">
        <v>5.0856456714666667E-2</v>
      </c>
      <c r="G49" s="56" t="s">
        <v>1030</v>
      </c>
      <c r="H49" s="56">
        <v>4.0685165371733334E-2</v>
      </c>
      <c r="I49" s="56">
        <v>5.0856456714666667E-2</v>
      </c>
      <c r="J49" s="56">
        <v>6.1027748057600001E-2</v>
      </c>
      <c r="K49" s="56">
        <v>4.0685165371733334E-2</v>
      </c>
      <c r="L49" s="56">
        <v>6.1027748057600001E-2</v>
      </c>
      <c r="M49" s="56">
        <v>0</v>
      </c>
      <c r="N49" s="56">
        <v>1</v>
      </c>
      <c r="O49" s="47" t="s">
        <v>1039</v>
      </c>
      <c r="P49" s="34" t="s">
        <v>1092</v>
      </c>
      <c r="Q49" s="39" t="s">
        <v>1036</v>
      </c>
    </row>
    <row r="50" spans="1:17" ht="28.8" x14ac:dyDescent="0.3">
      <c r="A50" s="50" t="s">
        <v>981</v>
      </c>
      <c r="B50" s="47">
        <v>5</v>
      </c>
      <c r="C50" s="34" t="s">
        <v>290</v>
      </c>
      <c r="D50" s="47">
        <v>5</v>
      </c>
      <c r="E50" s="34" t="s">
        <v>458</v>
      </c>
      <c r="F50" s="56">
        <v>9.9718542577777788E-3</v>
      </c>
      <c r="G50" s="56" t="s">
        <v>1030</v>
      </c>
      <c r="H50" s="56">
        <v>7.977483406222223E-3</v>
      </c>
      <c r="I50" s="56">
        <v>9.9718542577777788E-3</v>
      </c>
      <c r="J50" s="56">
        <v>1.1966225109333335E-2</v>
      </c>
      <c r="K50" s="56">
        <v>7.977483406222223E-3</v>
      </c>
      <c r="L50" s="56">
        <v>1.1966225109333335E-2</v>
      </c>
      <c r="M50" s="56">
        <v>0</v>
      </c>
      <c r="N50" s="56">
        <v>1</v>
      </c>
      <c r="O50" s="47" t="s">
        <v>1041</v>
      </c>
      <c r="P50" s="34" t="s">
        <v>1093</v>
      </c>
      <c r="Q50" s="39" t="s">
        <v>1036</v>
      </c>
    </row>
    <row r="51" spans="1:17" ht="28.8" x14ac:dyDescent="0.3">
      <c r="A51" s="50" t="s">
        <v>981</v>
      </c>
      <c r="B51" s="47">
        <v>5</v>
      </c>
      <c r="C51" s="34" t="s">
        <v>290</v>
      </c>
      <c r="D51" s="47">
        <v>6</v>
      </c>
      <c r="E51" s="34" t="s">
        <v>459</v>
      </c>
      <c r="F51" s="56">
        <v>3.9829497725137088E-2</v>
      </c>
      <c r="G51" s="56" t="s">
        <v>1030</v>
      </c>
      <c r="H51" s="56">
        <v>3.186359818010967E-2</v>
      </c>
      <c r="I51" s="56">
        <v>3.9829497725137088E-2</v>
      </c>
      <c r="J51" s="56">
        <v>4.7795397270164505E-2</v>
      </c>
      <c r="K51" s="56">
        <v>3.186359818010967E-2</v>
      </c>
      <c r="L51" s="56">
        <v>4.7795397270164505E-2</v>
      </c>
      <c r="M51" s="56">
        <v>0</v>
      </c>
      <c r="N51" s="56">
        <v>1</v>
      </c>
      <c r="O51" s="47" t="s">
        <v>1043</v>
      </c>
      <c r="P51" s="34" t="s">
        <v>1094</v>
      </c>
      <c r="Q51" s="39" t="s">
        <v>1036</v>
      </c>
    </row>
    <row r="52" spans="1:17" ht="28.8" x14ac:dyDescent="0.3">
      <c r="A52" s="50" t="s">
        <v>981</v>
      </c>
      <c r="B52" s="47">
        <v>5</v>
      </c>
      <c r="C52" s="34" t="s">
        <v>290</v>
      </c>
      <c r="D52" s="47">
        <v>7</v>
      </c>
      <c r="E52" s="34" t="s">
        <v>562</v>
      </c>
      <c r="F52" s="56">
        <v>1.3872609011555556E-2</v>
      </c>
      <c r="G52" s="56" t="s">
        <v>1030</v>
      </c>
      <c r="H52" s="56">
        <v>1.1098087209244446E-2</v>
      </c>
      <c r="I52" s="56">
        <v>1.3872609011555556E-2</v>
      </c>
      <c r="J52" s="56">
        <v>1.6647130813866668E-2</v>
      </c>
      <c r="K52" s="56">
        <v>1.1098087209244446E-2</v>
      </c>
      <c r="L52" s="56">
        <v>1.6647130813866668E-2</v>
      </c>
      <c r="M52" s="56">
        <v>0</v>
      </c>
      <c r="N52" s="56">
        <v>1</v>
      </c>
      <c r="O52" s="47" t="s">
        <v>1045</v>
      </c>
      <c r="P52" s="34" t="s">
        <v>1095</v>
      </c>
      <c r="Q52" s="39" t="s">
        <v>1036</v>
      </c>
    </row>
    <row r="53" spans="1:17" ht="28.8" x14ac:dyDescent="0.3">
      <c r="A53" s="50" t="s">
        <v>981</v>
      </c>
      <c r="B53" s="47">
        <v>5</v>
      </c>
      <c r="C53" s="34" t="s">
        <v>290</v>
      </c>
      <c r="D53" s="47">
        <v>8</v>
      </c>
      <c r="E53" s="34" t="s">
        <v>567</v>
      </c>
      <c r="F53" s="56">
        <v>3.056275566731852E-2</v>
      </c>
      <c r="G53" s="56" t="s">
        <v>1030</v>
      </c>
      <c r="H53" s="56">
        <v>2.4450204533854818E-2</v>
      </c>
      <c r="I53" s="56">
        <v>3.056275566731852E-2</v>
      </c>
      <c r="J53" s="56">
        <v>3.6675306800782223E-2</v>
      </c>
      <c r="K53" s="56">
        <v>2.4450204533854818E-2</v>
      </c>
      <c r="L53" s="56">
        <v>3.6675306800782223E-2</v>
      </c>
      <c r="M53" s="56">
        <v>0</v>
      </c>
      <c r="N53" s="56">
        <v>1</v>
      </c>
      <c r="O53" s="47" t="s">
        <v>1047</v>
      </c>
      <c r="P53" s="34" t="s">
        <v>1096</v>
      </c>
      <c r="Q53" s="39" t="s">
        <v>1036</v>
      </c>
    </row>
    <row r="54" spans="1:17" ht="28.8" x14ac:dyDescent="0.3">
      <c r="A54" s="50" t="s">
        <v>981</v>
      </c>
      <c r="B54" s="47">
        <v>5</v>
      </c>
      <c r="C54" s="34" t="s">
        <v>290</v>
      </c>
      <c r="D54" s="47">
        <v>9</v>
      </c>
      <c r="E54" s="34" t="s">
        <v>636</v>
      </c>
      <c r="F54" s="56">
        <v>4.5373217965252531E-2</v>
      </c>
      <c r="G54" s="56" t="s">
        <v>1030</v>
      </c>
      <c r="H54" s="56">
        <v>3.6298574372202026E-2</v>
      </c>
      <c r="I54" s="56">
        <v>4.5373217965252531E-2</v>
      </c>
      <c r="J54" s="56">
        <v>5.4447861558303036E-2</v>
      </c>
      <c r="K54" s="56">
        <v>3.6298574372202026E-2</v>
      </c>
      <c r="L54" s="56">
        <v>5.4447861558303036E-2</v>
      </c>
      <c r="M54" s="56">
        <v>0</v>
      </c>
      <c r="N54" s="56">
        <v>1</v>
      </c>
      <c r="O54" s="47" t="s">
        <v>1049</v>
      </c>
      <c r="P54" s="34" t="s">
        <v>1097</v>
      </c>
      <c r="Q54" s="39" t="s">
        <v>1036</v>
      </c>
    </row>
    <row r="55" spans="1:17" ht="28.8" x14ac:dyDescent="0.3">
      <c r="A55" s="50" t="s">
        <v>981</v>
      </c>
      <c r="B55" s="47">
        <v>5</v>
      </c>
      <c r="C55" s="34" t="s">
        <v>290</v>
      </c>
      <c r="D55" s="47">
        <v>10</v>
      </c>
      <c r="E55" s="34" t="s">
        <v>838</v>
      </c>
      <c r="F55" s="56">
        <v>5.6462854775150617E-2</v>
      </c>
      <c r="G55" s="56" t="s">
        <v>1030</v>
      </c>
      <c r="H55" s="56">
        <v>4.5170283820120498E-2</v>
      </c>
      <c r="I55" s="56">
        <v>5.6462854775150617E-2</v>
      </c>
      <c r="J55" s="56">
        <v>6.7755425730180743E-2</v>
      </c>
      <c r="K55" s="56">
        <v>4.5170283820120498E-2</v>
      </c>
      <c r="L55" s="56">
        <v>6.7755425730180743E-2</v>
      </c>
      <c r="M55" s="56">
        <v>0</v>
      </c>
      <c r="N55" s="56">
        <v>1</v>
      </c>
      <c r="O55" s="47" t="s">
        <v>1051</v>
      </c>
      <c r="P55" s="34" t="s">
        <v>1098</v>
      </c>
      <c r="Q55" s="39" t="s">
        <v>1036</v>
      </c>
    </row>
    <row r="56" spans="1:17" ht="28.8" x14ac:dyDescent="0.3">
      <c r="A56" s="50" t="s">
        <v>981</v>
      </c>
      <c r="B56" s="47">
        <v>5</v>
      </c>
      <c r="C56" s="34" t="s">
        <v>290</v>
      </c>
      <c r="D56" s="47">
        <v>11</v>
      </c>
      <c r="E56" s="34" t="s">
        <v>843</v>
      </c>
      <c r="F56" s="56">
        <v>5.0711239669421512E-4</v>
      </c>
      <c r="G56" s="56" t="s">
        <v>1030</v>
      </c>
      <c r="H56" s="56">
        <v>4.056899173553721E-4</v>
      </c>
      <c r="I56" s="56">
        <v>5.0711239669421512E-4</v>
      </c>
      <c r="J56" s="56">
        <v>6.0853487603305815E-4</v>
      </c>
      <c r="K56" s="56">
        <v>4.056899173553721E-4</v>
      </c>
      <c r="L56" s="56">
        <v>6.0853487603305815E-4</v>
      </c>
      <c r="M56" s="56">
        <v>0</v>
      </c>
      <c r="N56" s="56">
        <v>1</v>
      </c>
      <c r="O56" s="47" t="s">
        <v>1053</v>
      </c>
      <c r="P56" s="34" t="s">
        <v>1099</v>
      </c>
      <c r="Q56" s="39" t="s">
        <v>1036</v>
      </c>
    </row>
    <row r="57" spans="1:17" ht="43.2" x14ac:dyDescent="0.3">
      <c r="A57" s="50" t="s">
        <v>981</v>
      </c>
      <c r="B57" s="47">
        <v>6</v>
      </c>
      <c r="C57" s="34" t="s">
        <v>129</v>
      </c>
      <c r="D57" s="47">
        <v>1</v>
      </c>
      <c r="E57" s="34" t="s">
        <v>9</v>
      </c>
      <c r="F57" s="56">
        <v>7.448835328466033E-2</v>
      </c>
      <c r="G57" s="56" t="s">
        <v>1030</v>
      </c>
      <c r="H57" s="56">
        <v>5.565532831034483E-2</v>
      </c>
      <c r="I57" s="56">
        <v>7.448835328466033E-2</v>
      </c>
      <c r="J57" s="56">
        <v>8.4799967999999989E-2</v>
      </c>
      <c r="K57" s="56">
        <v>5.9590682627728264E-2</v>
      </c>
      <c r="L57" s="56">
        <v>8.9386023941592396E-2</v>
      </c>
      <c r="M57" s="56">
        <v>0</v>
      </c>
      <c r="N57" s="56">
        <v>1</v>
      </c>
      <c r="O57" s="47" t="s">
        <v>1031</v>
      </c>
      <c r="P57" s="34" t="s">
        <v>1100</v>
      </c>
      <c r="Q57" s="39" t="s">
        <v>1033</v>
      </c>
    </row>
    <row r="58" spans="1:17" ht="28.8" x14ac:dyDescent="0.3">
      <c r="A58" s="50" t="s">
        <v>981</v>
      </c>
      <c r="B58" s="47">
        <v>6</v>
      </c>
      <c r="C58" s="34" t="s">
        <v>129</v>
      </c>
      <c r="D58" s="47">
        <v>2</v>
      </c>
      <c r="E58" s="34" t="s">
        <v>341</v>
      </c>
      <c r="F58" s="56">
        <v>3.8905200000000002E-3</v>
      </c>
      <c r="G58" s="56" t="s">
        <v>1030</v>
      </c>
      <c r="H58" s="56">
        <v>3.1124160000000002E-3</v>
      </c>
      <c r="I58" s="56">
        <v>3.8905200000000002E-3</v>
      </c>
      <c r="J58" s="56">
        <v>4.6686239999999997E-3</v>
      </c>
      <c r="K58" s="56">
        <v>3.1124160000000002E-3</v>
      </c>
      <c r="L58" s="56">
        <v>4.6686239999999997E-3</v>
      </c>
      <c r="M58" s="56">
        <v>0</v>
      </c>
      <c r="N58" s="56">
        <v>1</v>
      </c>
      <c r="O58" s="47" t="s">
        <v>1034</v>
      </c>
      <c r="P58" s="34" t="s">
        <v>1101</v>
      </c>
      <c r="Q58" s="39" t="s">
        <v>1036</v>
      </c>
    </row>
    <row r="59" spans="1:17" ht="43.2" x14ac:dyDescent="0.3">
      <c r="A59" s="50" t="s">
        <v>981</v>
      </c>
      <c r="B59" s="47">
        <v>6</v>
      </c>
      <c r="C59" s="34" t="s">
        <v>129</v>
      </c>
      <c r="D59" s="47">
        <v>3</v>
      </c>
      <c r="E59" s="34" t="s">
        <v>392</v>
      </c>
      <c r="F59" s="56">
        <v>4.2915146561368425E-2</v>
      </c>
      <c r="G59" s="56" t="s">
        <v>1030</v>
      </c>
      <c r="H59" s="56">
        <v>3.2075951342842107E-2</v>
      </c>
      <c r="I59" s="56">
        <v>4.2915146561368425E-2</v>
      </c>
      <c r="J59" s="56">
        <v>5.3754341779894743E-2</v>
      </c>
      <c r="K59" s="56">
        <v>3.433211724909474E-2</v>
      </c>
      <c r="L59" s="56">
        <v>5.149817587364211E-2</v>
      </c>
      <c r="M59" s="56">
        <v>0</v>
      </c>
      <c r="N59" s="56">
        <v>1</v>
      </c>
      <c r="O59" s="47" t="s">
        <v>1037</v>
      </c>
      <c r="P59" s="34" t="s">
        <v>1102</v>
      </c>
      <c r="Q59" s="39" t="s">
        <v>1033</v>
      </c>
    </row>
    <row r="60" spans="1:17" ht="28.8" x14ac:dyDescent="0.3">
      <c r="A60" s="50" t="s">
        <v>981</v>
      </c>
      <c r="B60" s="47">
        <v>6</v>
      </c>
      <c r="C60" s="34" t="s">
        <v>129</v>
      </c>
      <c r="D60" s="47">
        <v>4</v>
      </c>
      <c r="E60" s="34" t="s">
        <v>455</v>
      </c>
      <c r="F60" s="56">
        <v>7.6107963366842113E-2</v>
      </c>
      <c r="G60" s="56" t="s">
        <v>1030</v>
      </c>
      <c r="H60" s="56">
        <v>6.088637069347369E-2</v>
      </c>
      <c r="I60" s="56">
        <v>7.6107963366842113E-2</v>
      </c>
      <c r="J60" s="56">
        <v>9.1329556040210536E-2</v>
      </c>
      <c r="K60" s="56">
        <v>6.088637069347369E-2</v>
      </c>
      <c r="L60" s="56">
        <v>9.1329556040210536E-2</v>
      </c>
      <c r="M60" s="56">
        <v>0</v>
      </c>
      <c r="N60" s="56">
        <v>1</v>
      </c>
      <c r="O60" s="47" t="s">
        <v>1039</v>
      </c>
      <c r="P60" s="34" t="s">
        <v>1103</v>
      </c>
      <c r="Q60" s="39" t="s">
        <v>1036</v>
      </c>
    </row>
    <row r="61" spans="1:17" ht="28.8" x14ac:dyDescent="0.3">
      <c r="A61" s="50" t="s">
        <v>981</v>
      </c>
      <c r="B61" s="47">
        <v>6</v>
      </c>
      <c r="C61" s="34" t="s">
        <v>129</v>
      </c>
      <c r="D61" s="47">
        <v>5</v>
      </c>
      <c r="E61" s="34" t="s">
        <v>458</v>
      </c>
      <c r="F61" s="56">
        <v>7.9188840192982481E-3</v>
      </c>
      <c r="G61" s="56" t="s">
        <v>1030</v>
      </c>
      <c r="H61" s="56">
        <v>6.3351072154385988E-3</v>
      </c>
      <c r="I61" s="56">
        <v>7.9188840192982481E-3</v>
      </c>
      <c r="J61" s="56">
        <v>9.5026608231578973E-3</v>
      </c>
      <c r="K61" s="56">
        <v>6.3351072154385988E-3</v>
      </c>
      <c r="L61" s="56">
        <v>9.5026608231578973E-3</v>
      </c>
      <c r="M61" s="56">
        <v>0</v>
      </c>
      <c r="N61" s="56">
        <v>1</v>
      </c>
      <c r="O61" s="47" t="s">
        <v>1041</v>
      </c>
      <c r="P61" s="34" t="s">
        <v>1104</v>
      </c>
      <c r="Q61" s="39" t="s">
        <v>1036</v>
      </c>
    </row>
    <row r="62" spans="1:17" ht="28.8" x14ac:dyDescent="0.3">
      <c r="A62" s="50" t="s">
        <v>981</v>
      </c>
      <c r="B62" s="47">
        <v>6</v>
      </c>
      <c r="C62" s="34" t="s">
        <v>129</v>
      </c>
      <c r="D62" s="47">
        <v>6</v>
      </c>
      <c r="E62" s="34" t="s">
        <v>459</v>
      </c>
      <c r="F62" s="56">
        <v>5.8600885702791067E-2</v>
      </c>
      <c r="G62" s="56" t="s">
        <v>1030</v>
      </c>
      <c r="H62" s="56">
        <v>4.6880708562232858E-2</v>
      </c>
      <c r="I62" s="56">
        <v>5.8600885702791067E-2</v>
      </c>
      <c r="J62" s="56">
        <v>7.0321062843349283E-2</v>
      </c>
      <c r="K62" s="56">
        <v>4.6880708562232858E-2</v>
      </c>
      <c r="L62" s="56">
        <v>7.0321062843349283E-2</v>
      </c>
      <c r="M62" s="56">
        <v>0</v>
      </c>
      <c r="N62" s="56">
        <v>1</v>
      </c>
      <c r="O62" s="47" t="s">
        <v>1043</v>
      </c>
      <c r="P62" s="34" t="s">
        <v>1105</v>
      </c>
      <c r="Q62" s="39" t="s">
        <v>1036</v>
      </c>
    </row>
    <row r="63" spans="1:17" ht="28.8" x14ac:dyDescent="0.3">
      <c r="A63" s="50" t="s">
        <v>981</v>
      </c>
      <c r="B63" s="47">
        <v>6</v>
      </c>
      <c r="C63" s="34" t="s">
        <v>129</v>
      </c>
      <c r="D63" s="47">
        <v>7</v>
      </c>
      <c r="E63" s="34" t="s">
        <v>562</v>
      </c>
      <c r="F63" s="56">
        <v>2.077382575609649E-2</v>
      </c>
      <c r="G63" s="56" t="s">
        <v>1030</v>
      </c>
      <c r="H63" s="56">
        <v>1.6619060604877191E-2</v>
      </c>
      <c r="I63" s="56">
        <v>2.077382575609649E-2</v>
      </c>
      <c r="J63" s="56">
        <v>2.4928590907315789E-2</v>
      </c>
      <c r="K63" s="56">
        <v>1.6619060604877191E-2</v>
      </c>
      <c r="L63" s="56">
        <v>2.4928590907315789E-2</v>
      </c>
      <c r="M63" s="56">
        <v>0</v>
      </c>
      <c r="N63" s="56">
        <v>1</v>
      </c>
      <c r="O63" s="47" t="s">
        <v>1045</v>
      </c>
      <c r="P63" s="34" t="s">
        <v>1106</v>
      </c>
      <c r="Q63" s="39" t="s">
        <v>1036</v>
      </c>
    </row>
    <row r="64" spans="1:17" ht="28.8" x14ac:dyDescent="0.3">
      <c r="A64" s="50" t="s">
        <v>981</v>
      </c>
      <c r="B64" s="47">
        <v>6</v>
      </c>
      <c r="C64" s="34" t="s">
        <v>129</v>
      </c>
      <c r="D64" s="47">
        <v>8</v>
      </c>
      <c r="E64" s="34" t="s">
        <v>567</v>
      </c>
      <c r="F64" s="56">
        <v>4.5737930618497076E-2</v>
      </c>
      <c r="G64" s="56" t="s">
        <v>1030</v>
      </c>
      <c r="H64" s="56">
        <v>3.6590344494797665E-2</v>
      </c>
      <c r="I64" s="56">
        <v>4.5737930618497076E-2</v>
      </c>
      <c r="J64" s="56">
        <v>5.4885516742196487E-2</v>
      </c>
      <c r="K64" s="56">
        <v>3.6590344494797665E-2</v>
      </c>
      <c r="L64" s="56">
        <v>5.4885516742196487E-2</v>
      </c>
      <c r="M64" s="56">
        <v>0</v>
      </c>
      <c r="N64" s="56">
        <v>1</v>
      </c>
      <c r="O64" s="47" t="s">
        <v>1047</v>
      </c>
      <c r="P64" s="34" t="s">
        <v>1107</v>
      </c>
      <c r="Q64" s="39" t="s">
        <v>1036</v>
      </c>
    </row>
    <row r="65" spans="1:17" ht="28.8" x14ac:dyDescent="0.3">
      <c r="A65" s="50" t="s">
        <v>981</v>
      </c>
      <c r="B65" s="47">
        <v>6</v>
      </c>
      <c r="C65" s="34" t="s">
        <v>129</v>
      </c>
      <c r="D65" s="47">
        <v>9</v>
      </c>
      <c r="E65" s="34" t="s">
        <v>636</v>
      </c>
      <c r="F65" s="56">
        <v>3.540206973333334E-2</v>
      </c>
      <c r="G65" s="56" t="s">
        <v>1030</v>
      </c>
      <c r="H65" s="56">
        <v>2.8321655786666674E-2</v>
      </c>
      <c r="I65" s="56">
        <v>3.540206973333334E-2</v>
      </c>
      <c r="J65" s="56">
        <v>4.2482483680000009E-2</v>
      </c>
      <c r="K65" s="56">
        <v>2.8321655786666674E-2</v>
      </c>
      <c r="L65" s="56">
        <v>4.2482483680000009E-2</v>
      </c>
      <c r="M65" s="56">
        <v>0</v>
      </c>
      <c r="N65" s="56">
        <v>1</v>
      </c>
      <c r="O65" s="47" t="s">
        <v>1049</v>
      </c>
      <c r="P65" s="34" t="s">
        <v>1108</v>
      </c>
      <c r="Q65" s="39" t="s">
        <v>1036</v>
      </c>
    </row>
    <row r="66" spans="1:17" ht="28.8" x14ac:dyDescent="0.3">
      <c r="A66" s="50" t="s">
        <v>981</v>
      </c>
      <c r="B66" s="47">
        <v>6</v>
      </c>
      <c r="C66" s="34" t="s">
        <v>129</v>
      </c>
      <c r="D66" s="47">
        <v>10</v>
      </c>
      <c r="E66" s="34" t="s">
        <v>838</v>
      </c>
      <c r="F66" s="56">
        <v>8.4498078718393765E-2</v>
      </c>
      <c r="G66" s="56" t="s">
        <v>1030</v>
      </c>
      <c r="H66" s="56">
        <v>6.7598462974715015E-2</v>
      </c>
      <c r="I66" s="56">
        <v>8.4498078718393765E-2</v>
      </c>
      <c r="J66" s="56">
        <v>0.10139769446207252</v>
      </c>
      <c r="K66" s="56">
        <v>6.7598462974715015E-2</v>
      </c>
      <c r="L66" s="56">
        <v>0.10139769446207252</v>
      </c>
      <c r="M66" s="56">
        <v>0</v>
      </c>
      <c r="N66" s="56">
        <v>1</v>
      </c>
      <c r="O66" s="47" t="s">
        <v>1051</v>
      </c>
      <c r="P66" s="34" t="s">
        <v>1109</v>
      </c>
      <c r="Q66" s="39" t="s">
        <v>1036</v>
      </c>
    </row>
    <row r="67" spans="1:17" ht="28.8" x14ac:dyDescent="0.3">
      <c r="A67" s="50" t="s">
        <v>981</v>
      </c>
      <c r="B67" s="47">
        <v>6</v>
      </c>
      <c r="C67" s="34" t="s">
        <v>129</v>
      </c>
      <c r="D67" s="47">
        <v>11</v>
      </c>
      <c r="E67" s="34" t="s">
        <v>843</v>
      </c>
      <c r="F67" s="56">
        <v>2.695271466942149E-5</v>
      </c>
      <c r="G67" s="56" t="s">
        <v>1030</v>
      </c>
      <c r="H67" s="56">
        <v>2.1562171735537193E-5</v>
      </c>
      <c r="I67" s="56">
        <v>2.695271466942149E-5</v>
      </c>
      <c r="J67" s="56">
        <v>3.2343257603305784E-5</v>
      </c>
      <c r="K67" s="56">
        <v>2.1562171735537193E-5</v>
      </c>
      <c r="L67" s="56">
        <v>3.2343257603305784E-5</v>
      </c>
      <c r="M67" s="56">
        <v>0</v>
      </c>
      <c r="N67" s="56">
        <v>1</v>
      </c>
      <c r="O67" s="47" t="s">
        <v>1053</v>
      </c>
      <c r="P67" s="34" t="s">
        <v>1110</v>
      </c>
      <c r="Q67" s="39" t="s">
        <v>1036</v>
      </c>
    </row>
    <row r="68" spans="1:17" ht="43.2" x14ac:dyDescent="0.3">
      <c r="A68" s="50" t="s">
        <v>981</v>
      </c>
      <c r="B68" s="47">
        <v>7</v>
      </c>
      <c r="C68" s="34" t="s">
        <v>148</v>
      </c>
      <c r="D68" s="47">
        <v>1</v>
      </c>
      <c r="E68" s="34" t="s">
        <v>9</v>
      </c>
      <c r="F68" s="56">
        <v>5.3518845188938589E-2</v>
      </c>
      <c r="G68" s="56" t="s">
        <v>1030</v>
      </c>
      <c r="H68" s="56">
        <v>2.5959999999999997E-2</v>
      </c>
      <c r="I68" s="56">
        <v>5.3518845188938589E-2</v>
      </c>
      <c r="J68" s="56">
        <v>9.219999999999999E-2</v>
      </c>
      <c r="K68" s="56">
        <v>4.2815076151150877E-2</v>
      </c>
      <c r="L68" s="56">
        <v>6.4222614226726302E-2</v>
      </c>
      <c r="M68" s="56">
        <v>0</v>
      </c>
      <c r="N68" s="56">
        <v>1</v>
      </c>
      <c r="O68" s="47" t="s">
        <v>1031</v>
      </c>
      <c r="P68" s="34" t="s">
        <v>1111</v>
      </c>
      <c r="Q68" s="39" t="s">
        <v>1033</v>
      </c>
    </row>
    <row r="69" spans="1:17" ht="43.2" x14ac:dyDescent="0.3">
      <c r="A69" s="50" t="s">
        <v>981</v>
      </c>
      <c r="B69" s="47">
        <v>7</v>
      </c>
      <c r="C69" s="34" t="s">
        <v>148</v>
      </c>
      <c r="D69" s="47">
        <v>2</v>
      </c>
      <c r="E69" s="34" t="s">
        <v>341</v>
      </c>
      <c r="F69" s="56">
        <v>4.8575E-2</v>
      </c>
      <c r="G69" s="56" t="s">
        <v>1030</v>
      </c>
      <c r="H69" s="56">
        <v>4.8500000000000001E-2</v>
      </c>
      <c r="I69" s="56">
        <v>4.8575E-2</v>
      </c>
      <c r="J69" s="56">
        <v>4.8649999999999999E-2</v>
      </c>
      <c r="K69" s="56">
        <v>3.8860000000000006E-2</v>
      </c>
      <c r="L69" s="56">
        <v>5.8289999999999995E-2</v>
      </c>
      <c r="M69" s="56">
        <v>0</v>
      </c>
      <c r="N69" s="56">
        <v>1</v>
      </c>
      <c r="O69" s="47" t="s">
        <v>1034</v>
      </c>
      <c r="P69" s="34" t="s">
        <v>1112</v>
      </c>
      <c r="Q69" s="39" t="s">
        <v>1033</v>
      </c>
    </row>
    <row r="70" spans="1:17" ht="28.8" x14ac:dyDescent="0.3">
      <c r="A70" s="50" t="s">
        <v>981</v>
      </c>
      <c r="B70" s="47">
        <v>7</v>
      </c>
      <c r="C70" s="34" t="s">
        <v>148</v>
      </c>
      <c r="D70" s="47">
        <v>3</v>
      </c>
      <c r="E70" s="34" t="s">
        <v>392</v>
      </c>
      <c r="F70" s="56">
        <v>5.011111111111112E-2</v>
      </c>
      <c r="G70" s="56" t="s">
        <v>1030</v>
      </c>
      <c r="H70" s="56">
        <v>4.0088888888888896E-2</v>
      </c>
      <c r="I70" s="56">
        <v>5.011111111111112E-2</v>
      </c>
      <c r="J70" s="56">
        <v>6.0133333333333344E-2</v>
      </c>
      <c r="K70" s="56">
        <v>4.0088888888888896E-2</v>
      </c>
      <c r="L70" s="56">
        <v>6.0133333333333344E-2</v>
      </c>
      <c r="M70" s="56">
        <v>0</v>
      </c>
      <c r="N70" s="56">
        <v>1</v>
      </c>
      <c r="O70" s="47" t="s">
        <v>1037</v>
      </c>
      <c r="P70" s="34" t="s">
        <v>1113</v>
      </c>
      <c r="Q70" s="39" t="s">
        <v>1036</v>
      </c>
    </row>
    <row r="71" spans="1:17" ht="28.8" x14ac:dyDescent="0.3">
      <c r="A71" s="50" t="s">
        <v>981</v>
      </c>
      <c r="B71" s="47">
        <v>7</v>
      </c>
      <c r="C71" s="34" t="s">
        <v>148</v>
      </c>
      <c r="D71" s="47">
        <v>4</v>
      </c>
      <c r="E71" s="34" t="s">
        <v>455</v>
      </c>
      <c r="F71" s="56">
        <v>0.19137532127910523</v>
      </c>
      <c r="G71" s="56" t="s">
        <v>1030</v>
      </c>
      <c r="H71" s="56">
        <v>0.1531002570232842</v>
      </c>
      <c r="I71" s="56">
        <v>0.19137532127910523</v>
      </c>
      <c r="J71" s="56">
        <v>0.22965038553492625</v>
      </c>
      <c r="K71" s="56">
        <v>0.1531002570232842</v>
      </c>
      <c r="L71" s="56">
        <v>0.22965038553492625</v>
      </c>
      <c r="M71" s="56">
        <v>0</v>
      </c>
      <c r="N71" s="56">
        <v>1</v>
      </c>
      <c r="O71" s="47" t="s">
        <v>1039</v>
      </c>
      <c r="P71" s="34" t="s">
        <v>1114</v>
      </c>
      <c r="Q71" s="39" t="s">
        <v>1036</v>
      </c>
    </row>
    <row r="72" spans="1:17" ht="28.8" x14ac:dyDescent="0.3">
      <c r="A72" s="50" t="s">
        <v>981</v>
      </c>
      <c r="B72" s="47">
        <v>7</v>
      </c>
      <c r="C72" s="34" t="s">
        <v>148</v>
      </c>
      <c r="D72" s="47">
        <v>5</v>
      </c>
      <c r="E72" s="34" t="s">
        <v>458</v>
      </c>
      <c r="F72" s="56">
        <v>2.9495240168245614E-2</v>
      </c>
      <c r="G72" s="56" t="s">
        <v>1030</v>
      </c>
      <c r="H72" s="56">
        <v>2.3596192134596492E-2</v>
      </c>
      <c r="I72" s="56">
        <v>2.9495240168245614E-2</v>
      </c>
      <c r="J72" s="56">
        <v>3.5394288201894733E-2</v>
      </c>
      <c r="K72" s="56">
        <v>2.3596192134596492E-2</v>
      </c>
      <c r="L72" s="56">
        <v>3.5394288201894733E-2</v>
      </c>
      <c r="M72" s="56">
        <v>0</v>
      </c>
      <c r="N72" s="56">
        <v>1</v>
      </c>
      <c r="O72" s="47" t="s">
        <v>1041</v>
      </c>
      <c r="P72" s="34" t="s">
        <v>1115</v>
      </c>
      <c r="Q72" s="39" t="s">
        <v>1036</v>
      </c>
    </row>
    <row r="73" spans="1:17" ht="28.8" x14ac:dyDescent="0.3">
      <c r="A73" s="50" t="s">
        <v>981</v>
      </c>
      <c r="B73" s="47">
        <v>7</v>
      </c>
      <c r="C73" s="34" t="s">
        <v>148</v>
      </c>
      <c r="D73" s="47">
        <v>6</v>
      </c>
      <c r="E73" s="34" t="s">
        <v>459</v>
      </c>
      <c r="F73" s="56">
        <v>0.33507425845302624</v>
      </c>
      <c r="G73" s="56" t="s">
        <v>1030</v>
      </c>
      <c r="H73" s="56">
        <v>0.26805940676242102</v>
      </c>
      <c r="I73" s="56">
        <v>0.33507425845302624</v>
      </c>
      <c r="J73" s="56">
        <v>0.40208911014363147</v>
      </c>
      <c r="K73" s="56">
        <v>0.26805940676242102</v>
      </c>
      <c r="L73" s="56">
        <v>0.40208911014363147</v>
      </c>
      <c r="M73" s="56">
        <v>0</v>
      </c>
      <c r="N73" s="56">
        <v>1</v>
      </c>
      <c r="O73" s="47" t="s">
        <v>1043</v>
      </c>
      <c r="P73" s="34" t="s">
        <v>1116</v>
      </c>
      <c r="Q73" s="39" t="s">
        <v>1036</v>
      </c>
    </row>
    <row r="74" spans="1:17" ht="28.8" x14ac:dyDescent="0.3">
      <c r="A74" s="50" t="s">
        <v>981</v>
      </c>
      <c r="B74" s="47">
        <v>7</v>
      </c>
      <c r="C74" s="34" t="s">
        <v>148</v>
      </c>
      <c r="D74" s="47">
        <v>7</v>
      </c>
      <c r="E74" s="34" t="s">
        <v>562</v>
      </c>
      <c r="F74" s="56">
        <v>5.3363678198074548E-2</v>
      </c>
      <c r="G74" s="56" t="s">
        <v>1030</v>
      </c>
      <c r="H74" s="56">
        <v>4.2690942558459642E-2</v>
      </c>
      <c r="I74" s="56">
        <v>5.3363678198074548E-2</v>
      </c>
      <c r="J74" s="56">
        <v>6.403641383768946E-2</v>
      </c>
      <c r="K74" s="56">
        <v>4.2690942558459642E-2</v>
      </c>
      <c r="L74" s="56">
        <v>6.403641383768946E-2</v>
      </c>
      <c r="M74" s="56">
        <v>0</v>
      </c>
      <c r="N74" s="56">
        <v>1</v>
      </c>
      <c r="O74" s="47" t="s">
        <v>1045</v>
      </c>
      <c r="P74" s="34" t="s">
        <v>1117</v>
      </c>
      <c r="Q74" s="39" t="s">
        <v>1036</v>
      </c>
    </row>
    <row r="75" spans="1:17" ht="28.8" x14ac:dyDescent="0.3">
      <c r="A75" s="50" t="s">
        <v>981</v>
      </c>
      <c r="B75" s="47">
        <v>7</v>
      </c>
      <c r="C75" s="34" t="s">
        <v>148</v>
      </c>
      <c r="D75" s="47">
        <v>8</v>
      </c>
      <c r="E75" s="34" t="s">
        <v>567</v>
      </c>
      <c r="F75" s="56">
        <v>0.11500913675177601</v>
      </c>
      <c r="G75" s="56" t="s">
        <v>1030</v>
      </c>
      <c r="H75" s="56">
        <v>9.2007309401420823E-2</v>
      </c>
      <c r="I75" s="56">
        <v>0.11500913675177601</v>
      </c>
      <c r="J75" s="56">
        <v>0.13801096410213121</v>
      </c>
      <c r="K75" s="56">
        <v>9.2007309401420823E-2</v>
      </c>
      <c r="L75" s="56">
        <v>0.13801096410213121</v>
      </c>
      <c r="M75" s="56">
        <v>0</v>
      </c>
      <c r="N75" s="56">
        <v>1</v>
      </c>
      <c r="O75" s="47" t="s">
        <v>1047</v>
      </c>
      <c r="P75" s="34" t="s">
        <v>1118</v>
      </c>
      <c r="Q75" s="39" t="s">
        <v>1036</v>
      </c>
    </row>
    <row r="76" spans="1:17" ht="43.2" x14ac:dyDescent="0.3">
      <c r="A76" s="50" t="s">
        <v>981</v>
      </c>
      <c r="B76" s="47">
        <v>7</v>
      </c>
      <c r="C76" s="34" t="s">
        <v>148</v>
      </c>
      <c r="D76" s="47">
        <v>9</v>
      </c>
      <c r="E76" s="34" t="s">
        <v>636</v>
      </c>
      <c r="F76" s="56">
        <v>0.12524190635446972</v>
      </c>
      <c r="G76" s="56" t="s">
        <v>1030</v>
      </c>
      <c r="H76" s="56">
        <v>0.10097142857142859</v>
      </c>
      <c r="I76" s="56">
        <v>0.12524190635446972</v>
      </c>
      <c r="J76" s="56">
        <v>0.13992888938641226</v>
      </c>
      <c r="K76" s="56">
        <v>0.10019352508357578</v>
      </c>
      <c r="L76" s="56">
        <v>0.15029028762536364</v>
      </c>
      <c r="M76" s="56">
        <v>0</v>
      </c>
      <c r="N76" s="56">
        <v>1</v>
      </c>
      <c r="O76" s="47" t="s">
        <v>1049</v>
      </c>
      <c r="P76" s="34" t="s">
        <v>1119</v>
      </c>
      <c r="Q76" s="39" t="s">
        <v>1033</v>
      </c>
    </row>
    <row r="77" spans="1:17" ht="28.8" x14ac:dyDescent="0.3">
      <c r="A77" s="50" t="s">
        <v>981</v>
      </c>
      <c r="B77" s="47">
        <v>7</v>
      </c>
      <c r="C77" s="34" t="s">
        <v>148</v>
      </c>
      <c r="D77" s="47">
        <v>10</v>
      </c>
      <c r="E77" s="34" t="s">
        <v>838</v>
      </c>
      <c r="F77" s="56">
        <v>0.21247246998656216</v>
      </c>
      <c r="G77" s="56" t="s">
        <v>1030</v>
      </c>
      <c r="H77" s="56">
        <v>0.16997797598924974</v>
      </c>
      <c r="I77" s="56">
        <v>0.21247246998656216</v>
      </c>
      <c r="J77" s="56">
        <v>0.25496696398387458</v>
      </c>
      <c r="K77" s="56">
        <v>0.16997797598924974</v>
      </c>
      <c r="L77" s="56">
        <v>0.25496696398387458</v>
      </c>
      <c r="M77" s="56">
        <v>0</v>
      </c>
      <c r="N77" s="56">
        <v>1</v>
      </c>
      <c r="O77" s="47" t="s">
        <v>1051</v>
      </c>
      <c r="P77" s="34" t="s">
        <v>1120</v>
      </c>
      <c r="Q77" s="39" t="s">
        <v>1036</v>
      </c>
    </row>
    <row r="78" spans="1:17" ht="28.8" x14ac:dyDescent="0.3">
      <c r="A78" s="50" t="s">
        <v>981</v>
      </c>
      <c r="B78" s="47">
        <v>7</v>
      </c>
      <c r="C78" s="34" t="s">
        <v>148</v>
      </c>
      <c r="D78" s="47">
        <v>11</v>
      </c>
      <c r="E78" s="34" t="s">
        <v>843</v>
      </c>
      <c r="F78" s="56">
        <v>2.3840887106267219E-3</v>
      </c>
      <c r="G78" s="56" t="s">
        <v>1030</v>
      </c>
      <c r="H78" s="56">
        <v>1.9072709685013776E-3</v>
      </c>
      <c r="I78" s="56">
        <v>2.3840887106267219E-3</v>
      </c>
      <c r="J78" s="56">
        <v>2.8609064527520662E-3</v>
      </c>
      <c r="K78" s="56">
        <v>1.9072709685013776E-3</v>
      </c>
      <c r="L78" s="56">
        <v>2.8609064527520662E-3</v>
      </c>
      <c r="M78" s="56">
        <v>0</v>
      </c>
      <c r="N78" s="56">
        <v>1</v>
      </c>
      <c r="O78" s="47" t="s">
        <v>1053</v>
      </c>
      <c r="P78" s="34" t="s">
        <v>1121</v>
      </c>
      <c r="Q78" s="39" t="s">
        <v>1036</v>
      </c>
    </row>
    <row r="79" spans="1:17" ht="43.2" x14ac:dyDescent="0.3">
      <c r="A79" s="50" t="s">
        <v>981</v>
      </c>
      <c r="B79" s="47">
        <v>8</v>
      </c>
      <c r="C79" s="34" t="s">
        <v>164</v>
      </c>
      <c r="D79" s="47">
        <v>1</v>
      </c>
      <c r="E79" s="34" t="s">
        <v>9</v>
      </c>
      <c r="F79" s="56">
        <v>0.12087476848874665</v>
      </c>
      <c r="G79" s="56" t="s">
        <v>1030</v>
      </c>
      <c r="H79" s="56">
        <v>9.633064283578946E-2</v>
      </c>
      <c r="I79" s="56">
        <v>0.12087476848874665</v>
      </c>
      <c r="J79" s="56">
        <v>0.16788166666666665</v>
      </c>
      <c r="K79" s="56">
        <v>9.6699814790997318E-2</v>
      </c>
      <c r="L79" s="56">
        <v>0.14504972218649598</v>
      </c>
      <c r="M79" s="56">
        <v>0</v>
      </c>
      <c r="N79" s="56">
        <v>1</v>
      </c>
      <c r="O79" s="47" t="s">
        <v>1031</v>
      </c>
      <c r="P79" s="34" t="s">
        <v>1122</v>
      </c>
      <c r="Q79" s="39" t="s">
        <v>1033</v>
      </c>
    </row>
    <row r="80" spans="1:17" ht="28.8" x14ac:dyDescent="0.3">
      <c r="A80" s="50" t="s">
        <v>981</v>
      </c>
      <c r="B80" s="47">
        <v>8</v>
      </c>
      <c r="C80" s="34" t="s">
        <v>164</v>
      </c>
      <c r="D80" s="47">
        <v>2</v>
      </c>
      <c r="E80" s="34" t="s">
        <v>341</v>
      </c>
      <c r="F80" s="56">
        <v>1.9270800000000001E-3</v>
      </c>
      <c r="G80" s="56" t="s">
        <v>1030</v>
      </c>
      <c r="H80" s="56">
        <v>1.5416640000000001E-3</v>
      </c>
      <c r="I80" s="56">
        <v>1.9270800000000001E-3</v>
      </c>
      <c r="J80" s="56">
        <v>2.3124959999999998E-3</v>
      </c>
      <c r="K80" s="56">
        <v>1.5416640000000001E-3</v>
      </c>
      <c r="L80" s="56">
        <v>2.3124959999999998E-3</v>
      </c>
      <c r="M80" s="56">
        <v>0</v>
      </c>
      <c r="N80" s="56">
        <v>1</v>
      </c>
      <c r="O80" s="47" t="s">
        <v>1034</v>
      </c>
      <c r="P80" s="34" t="s">
        <v>1123</v>
      </c>
      <c r="Q80" s="39" t="s">
        <v>1036</v>
      </c>
    </row>
    <row r="81" spans="1:17" ht="28.8" x14ac:dyDescent="0.3">
      <c r="A81" s="50" t="s">
        <v>981</v>
      </c>
      <c r="B81" s="47">
        <v>8</v>
      </c>
      <c r="C81" s="34" t="s">
        <v>164</v>
      </c>
      <c r="D81" s="47">
        <v>3</v>
      </c>
      <c r="E81" s="34" t="s">
        <v>392</v>
      </c>
      <c r="F81" s="56">
        <v>0.19476578947368423</v>
      </c>
      <c r="G81" s="56" t="s">
        <v>1030</v>
      </c>
      <c r="H81" s="56">
        <v>0.1558126315789474</v>
      </c>
      <c r="I81" s="56">
        <v>0.19476578947368423</v>
      </c>
      <c r="J81" s="56">
        <v>0.23371894736842105</v>
      </c>
      <c r="K81" s="56">
        <v>0.1558126315789474</v>
      </c>
      <c r="L81" s="56">
        <v>0.23371894736842105</v>
      </c>
      <c r="M81" s="56">
        <v>0</v>
      </c>
      <c r="N81" s="56">
        <v>1</v>
      </c>
      <c r="O81" s="47" t="s">
        <v>1037</v>
      </c>
      <c r="P81" s="34" t="s">
        <v>1124</v>
      </c>
      <c r="Q81" s="39" t="s">
        <v>1036</v>
      </c>
    </row>
    <row r="82" spans="1:17" ht="28.8" x14ac:dyDescent="0.3">
      <c r="A82" s="50" t="s">
        <v>981</v>
      </c>
      <c r="B82" s="47">
        <v>8</v>
      </c>
      <c r="C82" s="34" t="s">
        <v>164</v>
      </c>
      <c r="D82" s="47">
        <v>4</v>
      </c>
      <c r="E82" s="34" t="s">
        <v>455</v>
      </c>
      <c r="F82" s="56">
        <v>0.12989792515789472</v>
      </c>
      <c r="G82" s="56" t="s">
        <v>1030</v>
      </c>
      <c r="H82" s="56">
        <v>0.10391834012631579</v>
      </c>
      <c r="I82" s="56">
        <v>0.12989792515789472</v>
      </c>
      <c r="J82" s="56">
        <v>0.15587751018947366</v>
      </c>
      <c r="K82" s="56">
        <v>0.10391834012631579</v>
      </c>
      <c r="L82" s="56">
        <v>0.15587751018947366</v>
      </c>
      <c r="M82" s="56">
        <v>0</v>
      </c>
      <c r="N82" s="56">
        <v>1</v>
      </c>
      <c r="O82" s="47" t="s">
        <v>1039</v>
      </c>
      <c r="P82" s="34" t="s">
        <v>1125</v>
      </c>
      <c r="Q82" s="39" t="s">
        <v>1036</v>
      </c>
    </row>
    <row r="83" spans="1:17" ht="28.8" x14ac:dyDescent="0.3">
      <c r="A83" s="50" t="s">
        <v>981</v>
      </c>
      <c r="B83" s="47">
        <v>8</v>
      </c>
      <c r="C83" s="34" t="s">
        <v>164</v>
      </c>
      <c r="D83" s="47">
        <v>5</v>
      </c>
      <c r="E83" s="34" t="s">
        <v>458</v>
      </c>
      <c r="F83" s="56">
        <v>1.7998999035087719E-2</v>
      </c>
      <c r="G83" s="56" t="s">
        <v>1030</v>
      </c>
      <c r="H83" s="56">
        <v>1.4399199228070175E-2</v>
      </c>
      <c r="I83" s="56">
        <v>1.7998999035087719E-2</v>
      </c>
      <c r="J83" s="56">
        <v>2.1598798842105263E-2</v>
      </c>
      <c r="K83" s="56">
        <v>1.4399199228070175E-2</v>
      </c>
      <c r="L83" s="56">
        <v>2.1598798842105263E-2</v>
      </c>
      <c r="M83" s="56">
        <v>0</v>
      </c>
      <c r="N83" s="56">
        <v>1</v>
      </c>
      <c r="O83" s="47" t="s">
        <v>1041</v>
      </c>
      <c r="P83" s="34" t="s">
        <v>1126</v>
      </c>
      <c r="Q83" s="39" t="s">
        <v>1036</v>
      </c>
    </row>
    <row r="84" spans="1:17" ht="28.8" x14ac:dyDescent="0.3">
      <c r="A84" s="50" t="s">
        <v>981</v>
      </c>
      <c r="B84" s="47">
        <v>8</v>
      </c>
      <c r="C84" s="34" t="s">
        <v>164</v>
      </c>
      <c r="D84" s="47">
        <v>6</v>
      </c>
      <c r="E84" s="34" t="s">
        <v>459</v>
      </c>
      <c r="F84" s="56">
        <v>3.7056762719298239E-2</v>
      </c>
      <c r="G84" s="56" t="s">
        <v>1030</v>
      </c>
      <c r="H84" s="56">
        <v>2.9645410175438591E-2</v>
      </c>
      <c r="I84" s="56">
        <v>3.7056762719298239E-2</v>
      </c>
      <c r="J84" s="56">
        <v>4.4468115263157887E-2</v>
      </c>
      <c r="K84" s="56">
        <v>2.9645410175438591E-2</v>
      </c>
      <c r="L84" s="56">
        <v>4.4468115263157887E-2</v>
      </c>
      <c r="M84" s="56">
        <v>0</v>
      </c>
      <c r="N84" s="56">
        <v>1</v>
      </c>
      <c r="O84" s="47" t="s">
        <v>1043</v>
      </c>
      <c r="P84" s="34" t="s">
        <v>1127</v>
      </c>
      <c r="Q84" s="39" t="s">
        <v>1036</v>
      </c>
    </row>
    <row r="85" spans="1:17" ht="28.8" x14ac:dyDescent="0.3">
      <c r="A85" s="50" t="s">
        <v>981</v>
      </c>
      <c r="B85" s="47">
        <v>8</v>
      </c>
      <c r="C85" s="34" t="s">
        <v>164</v>
      </c>
      <c r="D85" s="47">
        <v>7</v>
      </c>
      <c r="E85" s="34" t="s">
        <v>562</v>
      </c>
      <c r="F85" s="56">
        <v>3.606550419517543E-2</v>
      </c>
      <c r="G85" s="56" t="s">
        <v>1030</v>
      </c>
      <c r="H85" s="56">
        <v>2.8852403356140345E-2</v>
      </c>
      <c r="I85" s="56">
        <v>3.606550419517543E-2</v>
      </c>
      <c r="J85" s="56">
        <v>4.3278605034210514E-2</v>
      </c>
      <c r="K85" s="56">
        <v>2.8852403356140345E-2</v>
      </c>
      <c r="L85" s="56">
        <v>4.3278605034210514E-2</v>
      </c>
      <c r="M85" s="56">
        <v>0</v>
      </c>
      <c r="N85" s="56">
        <v>1</v>
      </c>
      <c r="O85" s="47" t="s">
        <v>1045</v>
      </c>
      <c r="P85" s="34" t="s">
        <v>1128</v>
      </c>
      <c r="Q85" s="39" t="s">
        <v>1036</v>
      </c>
    </row>
    <row r="86" spans="1:17" ht="28.8" x14ac:dyDescent="0.3">
      <c r="A86" s="50" t="s">
        <v>981</v>
      </c>
      <c r="B86" s="47">
        <v>8</v>
      </c>
      <c r="C86" s="34" t="s">
        <v>164</v>
      </c>
      <c r="D86" s="47">
        <v>8</v>
      </c>
      <c r="E86" s="34" t="s">
        <v>567</v>
      </c>
      <c r="F86" s="56">
        <v>2.2140075692982451E-2</v>
      </c>
      <c r="G86" s="56" t="s">
        <v>1030</v>
      </c>
      <c r="H86" s="56">
        <v>1.7712060554385962E-2</v>
      </c>
      <c r="I86" s="56">
        <v>2.2140075692982451E-2</v>
      </c>
      <c r="J86" s="56">
        <v>2.656809083157894E-2</v>
      </c>
      <c r="K86" s="56">
        <v>1.7712060554385962E-2</v>
      </c>
      <c r="L86" s="56">
        <v>2.656809083157894E-2</v>
      </c>
      <c r="M86" s="56">
        <v>0</v>
      </c>
      <c r="N86" s="56">
        <v>1</v>
      </c>
      <c r="O86" s="47" t="s">
        <v>1047</v>
      </c>
      <c r="P86" s="34" t="s">
        <v>1129</v>
      </c>
      <c r="Q86" s="39" t="s">
        <v>1036</v>
      </c>
    </row>
    <row r="87" spans="1:17" ht="43.2" x14ac:dyDescent="0.3">
      <c r="A87" s="50" t="s">
        <v>981</v>
      </c>
      <c r="B87" s="47">
        <v>8</v>
      </c>
      <c r="C87" s="34" t="s">
        <v>164</v>
      </c>
      <c r="D87" s="47">
        <v>9</v>
      </c>
      <c r="E87" s="34" t="s">
        <v>636</v>
      </c>
      <c r="F87" s="56">
        <v>0.20485741112706943</v>
      </c>
      <c r="G87" s="56" t="s">
        <v>1030</v>
      </c>
      <c r="H87" s="56">
        <v>0.1359748248637829</v>
      </c>
      <c r="I87" s="56">
        <v>0.20485741112706943</v>
      </c>
      <c r="J87" s="56">
        <v>0.27620991320723681</v>
      </c>
      <c r="K87" s="56">
        <v>0.16388592890165554</v>
      </c>
      <c r="L87" s="56">
        <v>0.24582889335248331</v>
      </c>
      <c r="M87" s="56">
        <v>0</v>
      </c>
      <c r="N87" s="56">
        <v>1</v>
      </c>
      <c r="O87" s="47" t="s">
        <v>1049</v>
      </c>
      <c r="P87" s="34" t="s">
        <v>1130</v>
      </c>
      <c r="Q87" s="39" t="s">
        <v>1033</v>
      </c>
    </row>
    <row r="88" spans="1:17" ht="28.8" x14ac:dyDescent="0.3">
      <c r="A88" s="50" t="s">
        <v>981</v>
      </c>
      <c r="B88" s="47">
        <v>8</v>
      </c>
      <c r="C88" s="34" t="s">
        <v>164</v>
      </c>
      <c r="D88" s="47">
        <v>10</v>
      </c>
      <c r="E88" s="34" t="s">
        <v>838</v>
      </c>
      <c r="F88" s="56">
        <v>0.14421782714697853</v>
      </c>
      <c r="G88" s="56" t="s">
        <v>1030</v>
      </c>
      <c r="H88" s="56">
        <v>0.11537426171758283</v>
      </c>
      <c r="I88" s="56">
        <v>0.14421782714697853</v>
      </c>
      <c r="J88" s="56">
        <v>0.17306139257637423</v>
      </c>
      <c r="K88" s="56">
        <v>0.11537426171758283</v>
      </c>
      <c r="L88" s="56">
        <v>0.17306139257637423</v>
      </c>
      <c r="M88" s="56">
        <v>0</v>
      </c>
      <c r="N88" s="56">
        <v>1</v>
      </c>
      <c r="O88" s="47" t="s">
        <v>1051</v>
      </c>
      <c r="P88" s="34" t="s">
        <v>1131</v>
      </c>
      <c r="Q88" s="39" t="s">
        <v>1036</v>
      </c>
    </row>
    <row r="89" spans="1:17" ht="28.8" x14ac:dyDescent="0.3">
      <c r="A89" s="50" t="s">
        <v>981</v>
      </c>
      <c r="B89" s="47">
        <v>8</v>
      </c>
      <c r="C89" s="34" t="s">
        <v>164</v>
      </c>
      <c r="D89" s="47">
        <v>11</v>
      </c>
      <c r="E89" s="34" t="s">
        <v>843</v>
      </c>
      <c r="F89" s="56">
        <v>1.2984705681818181E-3</v>
      </c>
      <c r="G89" s="56" t="s">
        <v>1030</v>
      </c>
      <c r="H89" s="56">
        <v>1.0387764545454546E-3</v>
      </c>
      <c r="I89" s="56">
        <v>1.2984705681818181E-3</v>
      </c>
      <c r="J89" s="56">
        <v>1.5581646818181817E-3</v>
      </c>
      <c r="K89" s="56">
        <v>1.0387764545454546E-3</v>
      </c>
      <c r="L89" s="56">
        <v>1.5581646818181817E-3</v>
      </c>
      <c r="M89" s="56">
        <v>0</v>
      </c>
      <c r="N89" s="56">
        <v>1</v>
      </c>
      <c r="O89" s="47" t="s">
        <v>1053</v>
      </c>
      <c r="P89" s="34" t="s">
        <v>1132</v>
      </c>
      <c r="Q89" s="39" t="s">
        <v>1036</v>
      </c>
    </row>
    <row r="90" spans="1:17" ht="43.2" x14ac:dyDescent="0.3">
      <c r="A90" s="50" t="s">
        <v>981</v>
      </c>
      <c r="B90" s="47">
        <v>9</v>
      </c>
      <c r="C90" s="34" t="s">
        <v>10</v>
      </c>
      <c r="D90" s="47">
        <v>1</v>
      </c>
      <c r="E90" s="34" t="s">
        <v>9</v>
      </c>
      <c r="F90" s="56">
        <v>0.27607174320707073</v>
      </c>
      <c r="G90" s="56" t="s">
        <v>1030</v>
      </c>
      <c r="H90" s="56">
        <v>0.24673834666666664</v>
      </c>
      <c r="I90" s="56">
        <v>0.27607174320707073</v>
      </c>
      <c r="J90" s="56">
        <v>0.35497272727272727</v>
      </c>
      <c r="K90" s="56">
        <v>0.22085739456565659</v>
      </c>
      <c r="L90" s="56">
        <v>0.33128609184848484</v>
      </c>
      <c r="M90" s="56">
        <v>0</v>
      </c>
      <c r="N90" s="56">
        <v>1</v>
      </c>
      <c r="O90" s="47" t="s">
        <v>1031</v>
      </c>
      <c r="P90" s="34" t="s">
        <v>1133</v>
      </c>
      <c r="Q90" s="39" t="s">
        <v>1033</v>
      </c>
    </row>
    <row r="91" spans="1:17" ht="43.2" x14ac:dyDescent="0.3">
      <c r="A91" s="50" t="s">
        <v>981</v>
      </c>
      <c r="B91" s="47">
        <v>9</v>
      </c>
      <c r="C91" s="34" t="s">
        <v>10</v>
      </c>
      <c r="D91" s="47">
        <v>2</v>
      </c>
      <c r="E91" s="34" t="s">
        <v>341</v>
      </c>
      <c r="F91" s="56">
        <v>5.4253630107629611E-2</v>
      </c>
      <c r="G91" s="56" t="s">
        <v>1030</v>
      </c>
      <c r="H91" s="56">
        <v>1.1985945030739591E-2</v>
      </c>
      <c r="I91" s="56">
        <v>5.4253630107629611E-2</v>
      </c>
      <c r="J91" s="56">
        <v>9.0463717999999999E-2</v>
      </c>
      <c r="K91" s="56">
        <v>4.3402904086103693E-2</v>
      </c>
      <c r="L91" s="56">
        <v>6.5104356129155536E-2</v>
      </c>
      <c r="M91" s="56">
        <v>0</v>
      </c>
      <c r="N91" s="56">
        <v>1</v>
      </c>
      <c r="O91" s="47" t="s">
        <v>1034</v>
      </c>
      <c r="P91" s="34" t="s">
        <v>1134</v>
      </c>
      <c r="Q91" s="39" t="s">
        <v>1033</v>
      </c>
    </row>
    <row r="92" spans="1:17" ht="57.6" x14ac:dyDescent="0.3">
      <c r="A92" s="50" t="s">
        <v>981</v>
      </c>
      <c r="B92" s="47">
        <v>9</v>
      </c>
      <c r="C92" s="34" t="s">
        <v>10</v>
      </c>
      <c r="D92" s="47">
        <v>3</v>
      </c>
      <c r="E92" s="34" t="s">
        <v>392</v>
      </c>
      <c r="F92" s="56">
        <v>5.666316904668911E-2</v>
      </c>
      <c r="G92" s="56" t="s">
        <v>1030</v>
      </c>
      <c r="H92" s="56">
        <v>1.0882839506172838E-2</v>
      </c>
      <c r="I92" s="56">
        <v>5.666316904668911E-2</v>
      </c>
      <c r="J92" s="56">
        <v>0.21500000000000002</v>
      </c>
      <c r="K92" s="56">
        <v>4.533053523735129E-2</v>
      </c>
      <c r="L92" s="56">
        <v>6.7995802856026924E-2</v>
      </c>
      <c r="M92" s="56">
        <v>0</v>
      </c>
      <c r="N92" s="56">
        <v>1</v>
      </c>
      <c r="O92" s="47" t="s">
        <v>1037</v>
      </c>
      <c r="P92" s="34" t="s">
        <v>1135</v>
      </c>
      <c r="Q92" s="39" t="s">
        <v>1033</v>
      </c>
    </row>
    <row r="93" spans="1:17" ht="28.8" x14ac:dyDescent="0.3">
      <c r="A93" s="50" t="s">
        <v>981</v>
      </c>
      <c r="B93" s="47">
        <v>9</v>
      </c>
      <c r="C93" s="34" t="s">
        <v>10</v>
      </c>
      <c r="D93" s="47">
        <v>4</v>
      </c>
      <c r="E93" s="34" t="s">
        <v>455</v>
      </c>
      <c r="F93" s="56">
        <v>5.2499999999999998E-2</v>
      </c>
      <c r="G93" s="56" t="s">
        <v>1030</v>
      </c>
      <c r="H93" s="56">
        <v>4.2000000000000003E-2</v>
      </c>
      <c r="I93" s="56">
        <v>5.2499999999999998E-2</v>
      </c>
      <c r="J93" s="56">
        <v>6.3E-2</v>
      </c>
      <c r="K93" s="56">
        <v>4.2000000000000003E-2</v>
      </c>
      <c r="L93" s="56">
        <v>6.3E-2</v>
      </c>
      <c r="M93" s="56">
        <v>0</v>
      </c>
      <c r="N93" s="56">
        <v>1</v>
      </c>
      <c r="O93" s="47" t="s">
        <v>1039</v>
      </c>
      <c r="P93" s="34" t="s">
        <v>1136</v>
      </c>
      <c r="Q93" s="39" t="s">
        <v>1036</v>
      </c>
    </row>
    <row r="94" spans="1:17" ht="28.8" x14ac:dyDescent="0.3">
      <c r="A94" s="50" t="s">
        <v>981</v>
      </c>
      <c r="B94" s="47">
        <v>9</v>
      </c>
      <c r="C94" s="34" t="s">
        <v>10</v>
      </c>
      <c r="D94" s="47">
        <v>5</v>
      </c>
      <c r="E94" s="34" t="s">
        <v>458</v>
      </c>
      <c r="F94" s="56">
        <v>2.0425499999999999E-2</v>
      </c>
      <c r="G94" s="56" t="s">
        <v>1030</v>
      </c>
      <c r="H94" s="56">
        <v>1.6340400000000001E-2</v>
      </c>
      <c r="I94" s="56">
        <v>2.0425499999999999E-2</v>
      </c>
      <c r="J94" s="56">
        <v>2.4510599999999997E-2</v>
      </c>
      <c r="K94" s="56">
        <v>1.6340400000000001E-2</v>
      </c>
      <c r="L94" s="56">
        <v>2.4510599999999997E-2</v>
      </c>
      <c r="M94" s="56">
        <v>0</v>
      </c>
      <c r="N94" s="56">
        <v>1</v>
      </c>
      <c r="O94" s="47" t="s">
        <v>1041</v>
      </c>
      <c r="P94" s="34" t="s">
        <v>1137</v>
      </c>
      <c r="Q94" s="39" t="s">
        <v>1036</v>
      </c>
    </row>
    <row r="95" spans="1:17" ht="43.2" x14ac:dyDescent="0.3">
      <c r="A95" s="50" t="s">
        <v>981</v>
      </c>
      <c r="B95" s="47">
        <v>9</v>
      </c>
      <c r="C95" s="34" t="s">
        <v>10</v>
      </c>
      <c r="D95" s="47">
        <v>6</v>
      </c>
      <c r="E95" s="34" t="s">
        <v>459</v>
      </c>
      <c r="F95" s="56">
        <v>0.36091382831774538</v>
      </c>
      <c r="G95" s="56" t="s">
        <v>1030</v>
      </c>
      <c r="H95" s="56">
        <v>0.17083333333333336</v>
      </c>
      <c r="I95" s="56">
        <v>0.36091382831774538</v>
      </c>
      <c r="J95" s="56">
        <v>0.70131529243047752</v>
      </c>
      <c r="K95" s="56">
        <v>0.28873106265419629</v>
      </c>
      <c r="L95" s="56">
        <v>0.43309659398129446</v>
      </c>
      <c r="M95" s="56">
        <v>0</v>
      </c>
      <c r="N95" s="56">
        <v>1</v>
      </c>
      <c r="O95" s="47" t="s">
        <v>1043</v>
      </c>
      <c r="P95" s="34" t="s">
        <v>1138</v>
      </c>
      <c r="Q95" s="39" t="s">
        <v>1033</v>
      </c>
    </row>
    <row r="96" spans="1:17" ht="28.8" x14ac:dyDescent="0.3">
      <c r="A96" s="50" t="s">
        <v>981</v>
      </c>
      <c r="B96" s="47">
        <v>9</v>
      </c>
      <c r="C96" s="34" t="s">
        <v>10</v>
      </c>
      <c r="D96" s="47">
        <v>7</v>
      </c>
      <c r="E96" s="34" t="s">
        <v>562</v>
      </c>
      <c r="F96" s="56">
        <v>0.11914305514403292</v>
      </c>
      <c r="G96" s="56" t="s">
        <v>1030</v>
      </c>
      <c r="H96" s="56">
        <v>9.5314444115226341E-2</v>
      </c>
      <c r="I96" s="56">
        <v>0.11914305514403292</v>
      </c>
      <c r="J96" s="56">
        <v>0.14297166617283949</v>
      </c>
      <c r="K96" s="56">
        <v>9.5314444115226341E-2</v>
      </c>
      <c r="L96" s="56">
        <v>0.14297166617283949</v>
      </c>
      <c r="M96" s="56">
        <v>0</v>
      </c>
      <c r="N96" s="56">
        <v>1</v>
      </c>
      <c r="O96" s="47" t="s">
        <v>1045</v>
      </c>
      <c r="P96" s="34" t="s">
        <v>1139</v>
      </c>
      <c r="Q96" s="39" t="s">
        <v>1036</v>
      </c>
    </row>
    <row r="97" spans="1:17" ht="43.2" x14ac:dyDescent="0.3">
      <c r="A97" s="50" t="s">
        <v>981</v>
      </c>
      <c r="B97" s="47">
        <v>9</v>
      </c>
      <c r="C97" s="34" t="s">
        <v>10</v>
      </c>
      <c r="D97" s="47">
        <v>8</v>
      </c>
      <c r="E97" s="34" t="s">
        <v>567</v>
      </c>
      <c r="F97" s="56">
        <v>0.24195604807903462</v>
      </c>
      <c r="G97" s="56" t="s">
        <v>1030</v>
      </c>
      <c r="H97" s="56">
        <v>0.19141701800091446</v>
      </c>
      <c r="I97" s="56">
        <v>0.24195604807903462</v>
      </c>
      <c r="J97" s="56">
        <v>0.29052868294036949</v>
      </c>
      <c r="K97" s="56">
        <v>0.1935648384632277</v>
      </c>
      <c r="L97" s="56">
        <v>0.29034725769484154</v>
      </c>
      <c r="M97" s="56">
        <v>0</v>
      </c>
      <c r="N97" s="56">
        <v>1</v>
      </c>
      <c r="O97" s="47" t="s">
        <v>1047</v>
      </c>
      <c r="P97" s="34" t="s">
        <v>1140</v>
      </c>
      <c r="Q97" s="39" t="s">
        <v>1033</v>
      </c>
    </row>
    <row r="98" spans="1:17" ht="43.2" x14ac:dyDescent="0.3">
      <c r="A98" s="50" t="s">
        <v>981</v>
      </c>
      <c r="B98" s="47">
        <v>9</v>
      </c>
      <c r="C98" s="34" t="s">
        <v>10</v>
      </c>
      <c r="D98" s="47">
        <v>9</v>
      </c>
      <c r="E98" s="34" t="s">
        <v>636</v>
      </c>
      <c r="F98" s="56">
        <v>0.64413095238095242</v>
      </c>
      <c r="G98" s="56" t="s">
        <v>1030</v>
      </c>
      <c r="H98" s="56">
        <v>0.60499999999999998</v>
      </c>
      <c r="I98" s="56">
        <v>0.64413095238095242</v>
      </c>
      <c r="J98" s="56">
        <v>0.69399999999999995</v>
      </c>
      <c r="K98" s="56">
        <v>0.51530476190476193</v>
      </c>
      <c r="L98" s="56">
        <v>0.7729571428571429</v>
      </c>
      <c r="M98" s="56">
        <v>0</v>
      </c>
      <c r="N98" s="56">
        <v>1</v>
      </c>
      <c r="O98" s="47" t="s">
        <v>1049</v>
      </c>
      <c r="P98" s="34" t="s">
        <v>1141</v>
      </c>
      <c r="Q98" s="39" t="s">
        <v>1033</v>
      </c>
    </row>
    <row r="99" spans="1:17" ht="28.8" x14ac:dyDescent="0.3">
      <c r="A99" s="50" t="s">
        <v>981</v>
      </c>
      <c r="B99" s="47">
        <v>9</v>
      </c>
      <c r="C99" s="34" t="s">
        <v>10</v>
      </c>
      <c r="D99" s="47">
        <v>10</v>
      </c>
      <c r="E99" s="34" t="s">
        <v>838</v>
      </c>
      <c r="F99" s="56">
        <v>0.41900928561266981</v>
      </c>
      <c r="G99" s="56" t="s">
        <v>1030</v>
      </c>
      <c r="H99" s="56">
        <v>0.33520742849013585</v>
      </c>
      <c r="I99" s="56">
        <v>0.41900928561266981</v>
      </c>
      <c r="J99" s="56">
        <v>0.50281114273520378</v>
      </c>
      <c r="K99" s="56">
        <v>0.33520742849013585</v>
      </c>
      <c r="L99" s="56">
        <v>0.50281114273520378</v>
      </c>
      <c r="M99" s="56">
        <v>0</v>
      </c>
      <c r="N99" s="56">
        <v>1</v>
      </c>
      <c r="O99" s="47" t="s">
        <v>1051</v>
      </c>
      <c r="P99" s="34" t="s">
        <v>1142</v>
      </c>
      <c r="Q99" s="39" t="s">
        <v>1036</v>
      </c>
    </row>
    <row r="100" spans="1:17" ht="43.2" x14ac:dyDescent="0.3">
      <c r="A100" s="50" t="s">
        <v>981</v>
      </c>
      <c r="B100" s="47">
        <v>9</v>
      </c>
      <c r="C100" s="34" t="s">
        <v>10</v>
      </c>
      <c r="D100" s="47">
        <v>11</v>
      </c>
      <c r="E100" s="34" t="s">
        <v>843</v>
      </c>
      <c r="F100" s="56">
        <v>3.2671322433221101E-2</v>
      </c>
      <c r="G100" s="56" t="s">
        <v>1030</v>
      </c>
      <c r="H100" s="56">
        <v>1.4303589225589226E-2</v>
      </c>
      <c r="I100" s="56">
        <v>3.2671322433221101E-2</v>
      </c>
      <c r="J100" s="56">
        <v>6.2463380471380468E-2</v>
      </c>
      <c r="K100" s="56">
        <v>2.6137057946576881E-2</v>
      </c>
      <c r="L100" s="56">
        <v>3.9205586919865316E-2</v>
      </c>
      <c r="M100" s="56">
        <v>0</v>
      </c>
      <c r="N100" s="56">
        <v>1</v>
      </c>
      <c r="O100" s="47" t="s">
        <v>1053</v>
      </c>
      <c r="P100" s="34" t="s">
        <v>1143</v>
      </c>
      <c r="Q100" s="39" t="s">
        <v>1033</v>
      </c>
    </row>
    <row r="101" spans="1:17" ht="28.8" x14ac:dyDescent="0.3">
      <c r="A101" s="50" t="s">
        <v>981</v>
      </c>
      <c r="B101" s="47">
        <v>10</v>
      </c>
      <c r="C101" s="34" t="s">
        <v>24</v>
      </c>
      <c r="D101" s="47">
        <v>1</v>
      </c>
      <c r="E101" s="34" t="s">
        <v>9</v>
      </c>
      <c r="F101" s="56">
        <v>0.49633333333333302</v>
      </c>
      <c r="G101" s="56" t="s">
        <v>1030</v>
      </c>
      <c r="H101" s="56">
        <v>0.39706666666666646</v>
      </c>
      <c r="I101" s="56">
        <v>0.49633333333333302</v>
      </c>
      <c r="J101" s="56">
        <v>0.59559999999999957</v>
      </c>
      <c r="K101" s="56">
        <v>0.39706666666666646</v>
      </c>
      <c r="L101" s="56">
        <v>0.59559999999999957</v>
      </c>
      <c r="M101" s="56">
        <v>0</v>
      </c>
      <c r="N101" s="56">
        <v>1</v>
      </c>
      <c r="O101" s="47" t="s">
        <v>1031</v>
      </c>
      <c r="P101" s="34" t="s">
        <v>1144</v>
      </c>
      <c r="Q101" s="39" t="s">
        <v>1036</v>
      </c>
    </row>
    <row r="102" spans="1:17" x14ac:dyDescent="0.3">
      <c r="A102" s="50" t="s">
        <v>1000</v>
      </c>
      <c r="B102" s="47">
        <v>10</v>
      </c>
      <c r="C102" s="34" t="s">
        <v>24</v>
      </c>
      <c r="D102" s="47">
        <v>2</v>
      </c>
      <c r="E102" s="34" t="s">
        <v>341</v>
      </c>
      <c r="F102" s="56">
        <v>0</v>
      </c>
      <c r="G102" s="56" t="s">
        <v>1067</v>
      </c>
      <c r="H102" s="56">
        <v>0</v>
      </c>
      <c r="I102" s="56">
        <v>0</v>
      </c>
      <c r="J102" s="56">
        <v>0</v>
      </c>
      <c r="K102" s="56">
        <v>0</v>
      </c>
      <c r="L102" s="56">
        <v>0</v>
      </c>
      <c r="M102" s="56">
        <v>0</v>
      </c>
      <c r="N102" s="56">
        <v>1</v>
      </c>
      <c r="O102" s="47" t="s">
        <v>1034</v>
      </c>
      <c r="P102" s="34" t="s">
        <v>1068</v>
      </c>
      <c r="Q102" s="39" t="s">
        <v>1069</v>
      </c>
    </row>
    <row r="103" spans="1:17" ht="28.8" x14ac:dyDescent="0.3">
      <c r="A103" s="50" t="s">
        <v>981</v>
      </c>
      <c r="B103" s="47">
        <v>10</v>
      </c>
      <c r="C103" s="34" t="s">
        <v>24</v>
      </c>
      <c r="D103" s="47">
        <v>3</v>
      </c>
      <c r="E103" s="34" t="s">
        <v>392</v>
      </c>
      <c r="F103" s="56">
        <v>5.84305555555555E-2</v>
      </c>
      <c r="G103" s="56" t="s">
        <v>1030</v>
      </c>
      <c r="H103" s="56">
        <v>4.6744444444444401E-2</v>
      </c>
      <c r="I103" s="56">
        <v>5.84305555555555E-2</v>
      </c>
      <c r="J103" s="56">
        <v>7.0116666666666591E-2</v>
      </c>
      <c r="K103" s="56">
        <v>4.6744444444444401E-2</v>
      </c>
      <c r="L103" s="56">
        <v>7.0116666666666591E-2</v>
      </c>
      <c r="M103" s="56">
        <v>0</v>
      </c>
      <c r="N103" s="56">
        <v>1</v>
      </c>
      <c r="O103" s="47" t="s">
        <v>1037</v>
      </c>
      <c r="P103" s="34" t="s">
        <v>1145</v>
      </c>
      <c r="Q103" s="39" t="s">
        <v>1036</v>
      </c>
    </row>
    <row r="104" spans="1:17" ht="28.8" x14ac:dyDescent="0.3">
      <c r="A104" s="50" t="s">
        <v>981</v>
      </c>
      <c r="B104" s="47">
        <v>10</v>
      </c>
      <c r="C104" s="34" t="s">
        <v>24</v>
      </c>
      <c r="D104" s="47">
        <v>4</v>
      </c>
      <c r="E104" s="34" t="s">
        <v>455</v>
      </c>
      <c r="F104" s="56">
        <v>7.2370416666666659E-2</v>
      </c>
      <c r="G104" s="56" t="s">
        <v>1030</v>
      </c>
      <c r="H104" s="56">
        <v>5.7896333333333327E-2</v>
      </c>
      <c r="I104" s="56">
        <v>7.2370416666666659E-2</v>
      </c>
      <c r="J104" s="56">
        <v>8.6844499999999991E-2</v>
      </c>
      <c r="K104" s="56">
        <v>5.7896333333333327E-2</v>
      </c>
      <c r="L104" s="56">
        <v>8.6844499999999991E-2</v>
      </c>
      <c r="M104" s="56">
        <v>0</v>
      </c>
      <c r="N104" s="56">
        <v>1</v>
      </c>
      <c r="O104" s="47" t="s">
        <v>1039</v>
      </c>
      <c r="P104" s="34" t="s">
        <v>1146</v>
      </c>
      <c r="Q104" s="39" t="s">
        <v>1036</v>
      </c>
    </row>
    <row r="105" spans="1:17" ht="28.8" x14ac:dyDescent="0.3">
      <c r="A105" s="50" t="s">
        <v>981</v>
      </c>
      <c r="B105" s="47">
        <v>10</v>
      </c>
      <c r="C105" s="34" t="s">
        <v>24</v>
      </c>
      <c r="D105" s="47">
        <v>5</v>
      </c>
      <c r="E105" s="34" t="s">
        <v>458</v>
      </c>
      <c r="F105" s="56">
        <v>1.4190277777777777E-2</v>
      </c>
      <c r="G105" s="56" t="s">
        <v>1030</v>
      </c>
      <c r="H105" s="56">
        <v>1.1352222222222222E-2</v>
      </c>
      <c r="I105" s="56">
        <v>1.4190277777777777E-2</v>
      </c>
      <c r="J105" s="56">
        <v>1.7028333333333333E-2</v>
      </c>
      <c r="K105" s="56">
        <v>1.1352222222222222E-2</v>
      </c>
      <c r="L105" s="56">
        <v>1.7028333333333333E-2</v>
      </c>
      <c r="M105" s="56">
        <v>0</v>
      </c>
      <c r="N105" s="56">
        <v>1</v>
      </c>
      <c r="O105" s="47" t="s">
        <v>1041</v>
      </c>
      <c r="P105" s="34" t="s">
        <v>1147</v>
      </c>
      <c r="Q105" s="39" t="s">
        <v>1036</v>
      </c>
    </row>
    <row r="106" spans="1:17" ht="28.8" x14ac:dyDescent="0.3">
      <c r="A106" s="50" t="s">
        <v>981</v>
      </c>
      <c r="B106" s="47">
        <v>10</v>
      </c>
      <c r="C106" s="34" t="s">
        <v>24</v>
      </c>
      <c r="D106" s="47">
        <v>6</v>
      </c>
      <c r="E106" s="34" t="s">
        <v>459</v>
      </c>
      <c r="F106" s="56">
        <v>5.5687896825396821E-2</v>
      </c>
      <c r="G106" s="56" t="s">
        <v>1030</v>
      </c>
      <c r="H106" s="56">
        <v>4.4550317460317457E-2</v>
      </c>
      <c r="I106" s="56">
        <v>5.5687896825396821E-2</v>
      </c>
      <c r="J106" s="56">
        <v>6.6825476190476185E-2</v>
      </c>
      <c r="K106" s="56">
        <v>4.4550317460317457E-2</v>
      </c>
      <c r="L106" s="56">
        <v>6.6825476190476185E-2</v>
      </c>
      <c r="M106" s="56">
        <v>0</v>
      </c>
      <c r="N106" s="56">
        <v>1</v>
      </c>
      <c r="O106" s="47" t="s">
        <v>1043</v>
      </c>
      <c r="P106" s="34" t="s">
        <v>1148</v>
      </c>
      <c r="Q106" s="39" t="s">
        <v>1036</v>
      </c>
    </row>
    <row r="107" spans="1:17" ht="28.8" x14ac:dyDescent="0.3">
      <c r="A107" s="50" t="s">
        <v>981</v>
      </c>
      <c r="B107" s="47">
        <v>10</v>
      </c>
      <c r="C107" s="34" t="s">
        <v>24</v>
      </c>
      <c r="D107" s="47">
        <v>7</v>
      </c>
      <c r="E107" s="34" t="s">
        <v>562</v>
      </c>
      <c r="F107" s="56">
        <v>5.8430555555555555E-2</v>
      </c>
      <c r="G107" s="56" t="s">
        <v>1030</v>
      </c>
      <c r="H107" s="56">
        <v>4.674444444444445E-2</v>
      </c>
      <c r="I107" s="56">
        <v>5.8430555555555555E-2</v>
      </c>
      <c r="J107" s="56">
        <v>7.011666666666666E-2</v>
      </c>
      <c r="K107" s="56">
        <v>4.674444444444445E-2</v>
      </c>
      <c r="L107" s="56">
        <v>7.011666666666666E-2</v>
      </c>
      <c r="M107" s="56">
        <v>0</v>
      </c>
      <c r="N107" s="56">
        <v>1</v>
      </c>
      <c r="O107" s="47" t="s">
        <v>1045</v>
      </c>
      <c r="P107" s="34" t="s">
        <v>1149</v>
      </c>
      <c r="Q107" s="39" t="s">
        <v>1036</v>
      </c>
    </row>
    <row r="108" spans="1:17" ht="28.8" x14ac:dyDescent="0.3">
      <c r="A108" s="50" t="s">
        <v>981</v>
      </c>
      <c r="B108" s="47">
        <v>10</v>
      </c>
      <c r="C108" s="34" t="s">
        <v>24</v>
      </c>
      <c r="D108" s="47">
        <v>8</v>
      </c>
      <c r="E108" s="34" t="s">
        <v>567</v>
      </c>
      <c r="F108" s="56">
        <v>4.3491810185185178E-2</v>
      </c>
      <c r="G108" s="56" t="s">
        <v>1030</v>
      </c>
      <c r="H108" s="56">
        <v>3.4793448148148144E-2</v>
      </c>
      <c r="I108" s="56">
        <v>4.3491810185185178E-2</v>
      </c>
      <c r="J108" s="56">
        <v>5.2190172222222213E-2</v>
      </c>
      <c r="K108" s="56">
        <v>3.4793448148148144E-2</v>
      </c>
      <c r="L108" s="56">
        <v>5.2190172222222213E-2</v>
      </c>
      <c r="M108" s="56">
        <v>0</v>
      </c>
      <c r="N108" s="56">
        <v>1</v>
      </c>
      <c r="O108" s="47" t="s">
        <v>1047</v>
      </c>
      <c r="P108" s="34" t="s">
        <v>1150</v>
      </c>
      <c r="Q108" s="39" t="s">
        <v>1036</v>
      </c>
    </row>
    <row r="109" spans="1:17" ht="28.8" x14ac:dyDescent="0.3">
      <c r="A109" s="50" t="s">
        <v>981</v>
      </c>
      <c r="B109" s="47">
        <v>10</v>
      </c>
      <c r="C109" s="34" t="s">
        <v>24</v>
      </c>
      <c r="D109" s="47">
        <v>9</v>
      </c>
      <c r="E109" s="34" t="s">
        <v>636</v>
      </c>
      <c r="F109" s="56">
        <v>6.3438888888888878E-2</v>
      </c>
      <c r="G109" s="56" t="s">
        <v>1030</v>
      </c>
      <c r="H109" s="56">
        <v>5.0751111111111108E-2</v>
      </c>
      <c r="I109" s="56">
        <v>6.3438888888888878E-2</v>
      </c>
      <c r="J109" s="56">
        <v>7.6126666666666648E-2</v>
      </c>
      <c r="K109" s="56">
        <v>5.0751111111111108E-2</v>
      </c>
      <c r="L109" s="56">
        <v>7.6126666666666648E-2</v>
      </c>
      <c r="M109" s="56">
        <v>0</v>
      </c>
      <c r="N109" s="56">
        <v>1</v>
      </c>
      <c r="O109" s="47" t="s">
        <v>1049</v>
      </c>
      <c r="P109" s="34" t="s">
        <v>1151</v>
      </c>
      <c r="Q109" s="39" t="s">
        <v>1036</v>
      </c>
    </row>
    <row r="110" spans="1:17" ht="28.8" x14ac:dyDescent="0.3">
      <c r="A110" s="50" t="s">
        <v>981</v>
      </c>
      <c r="B110" s="47">
        <v>10</v>
      </c>
      <c r="C110" s="34" t="s">
        <v>24</v>
      </c>
      <c r="D110" s="47">
        <v>10</v>
      </c>
      <c r="E110" s="34" t="s">
        <v>838</v>
      </c>
      <c r="F110" s="56">
        <v>8.0348506172839493E-2</v>
      </c>
      <c r="G110" s="56" t="s">
        <v>1030</v>
      </c>
      <c r="H110" s="56">
        <v>6.4278804938271594E-2</v>
      </c>
      <c r="I110" s="56">
        <v>8.0348506172839493E-2</v>
      </c>
      <c r="J110" s="56">
        <v>9.6418207407407391E-2</v>
      </c>
      <c r="K110" s="56">
        <v>6.4278804938271594E-2</v>
      </c>
      <c r="L110" s="56">
        <v>9.6418207407407391E-2</v>
      </c>
      <c r="M110" s="56">
        <v>0</v>
      </c>
      <c r="N110" s="56">
        <v>1</v>
      </c>
      <c r="O110" s="47" t="s">
        <v>1051</v>
      </c>
      <c r="P110" s="34" t="s">
        <v>1152</v>
      </c>
      <c r="Q110" s="39" t="s">
        <v>1036</v>
      </c>
    </row>
    <row r="111" spans="1:17" x14ac:dyDescent="0.3">
      <c r="A111" s="50" t="s">
        <v>1000</v>
      </c>
      <c r="B111" s="47">
        <v>10</v>
      </c>
      <c r="C111" s="34" t="s">
        <v>24</v>
      </c>
      <c r="D111" s="47">
        <v>11</v>
      </c>
      <c r="E111" s="34" t="s">
        <v>843</v>
      </c>
      <c r="F111" s="56">
        <v>0</v>
      </c>
      <c r="G111" s="56" t="s">
        <v>1067</v>
      </c>
      <c r="H111" s="56">
        <v>0</v>
      </c>
      <c r="I111" s="56">
        <v>0</v>
      </c>
      <c r="J111" s="56">
        <v>0</v>
      </c>
      <c r="K111" s="56">
        <v>0</v>
      </c>
      <c r="L111" s="56">
        <v>0</v>
      </c>
      <c r="M111" s="56">
        <v>0</v>
      </c>
      <c r="N111" s="56">
        <v>1</v>
      </c>
      <c r="O111" s="47" t="s">
        <v>1053</v>
      </c>
      <c r="P111" s="34" t="s">
        <v>1068</v>
      </c>
      <c r="Q111" s="39" t="s">
        <v>1069</v>
      </c>
    </row>
    <row r="112" spans="1:17" ht="28.8" x14ac:dyDescent="0.3">
      <c r="A112" s="50" t="s">
        <v>981</v>
      </c>
      <c r="B112" s="47">
        <v>11</v>
      </c>
      <c r="C112" s="34" t="s">
        <v>29</v>
      </c>
      <c r="D112" s="47">
        <v>1</v>
      </c>
      <c r="E112" s="34" t="s">
        <v>9</v>
      </c>
      <c r="F112" s="56">
        <v>1.0718750000000001E-2</v>
      </c>
      <c r="G112" s="56" t="s">
        <v>1030</v>
      </c>
      <c r="H112" s="56">
        <v>8.575000000000001E-3</v>
      </c>
      <c r="I112" s="56">
        <v>1.0718750000000001E-2</v>
      </c>
      <c r="J112" s="56">
        <v>1.2862500000000001E-2</v>
      </c>
      <c r="K112" s="56">
        <v>8.575000000000001E-3</v>
      </c>
      <c r="L112" s="56">
        <v>1.2862500000000001E-2</v>
      </c>
      <c r="M112" s="56">
        <v>0</v>
      </c>
      <c r="N112" s="56">
        <v>1</v>
      </c>
      <c r="O112" s="47" t="s">
        <v>1031</v>
      </c>
      <c r="P112" s="34" t="s">
        <v>1153</v>
      </c>
      <c r="Q112" s="39" t="s">
        <v>1036</v>
      </c>
    </row>
    <row r="113" spans="1:17" ht="28.8" x14ac:dyDescent="0.3">
      <c r="A113" s="50" t="s">
        <v>981</v>
      </c>
      <c r="B113" s="47">
        <v>11</v>
      </c>
      <c r="C113" s="34" t="s">
        <v>29</v>
      </c>
      <c r="D113" s="47">
        <v>2</v>
      </c>
      <c r="E113" s="34" t="s">
        <v>341</v>
      </c>
      <c r="F113" s="56">
        <v>5.6357999999999998E-2</v>
      </c>
      <c r="G113" s="56" t="s">
        <v>1030</v>
      </c>
      <c r="H113" s="56">
        <v>4.5086399999999999E-2</v>
      </c>
      <c r="I113" s="56">
        <v>5.6357999999999998E-2</v>
      </c>
      <c r="J113" s="56">
        <v>6.7629599999999998E-2</v>
      </c>
      <c r="K113" s="56">
        <v>4.5086399999999999E-2</v>
      </c>
      <c r="L113" s="56">
        <v>6.7629599999999998E-2</v>
      </c>
      <c r="M113" s="56">
        <v>0</v>
      </c>
      <c r="N113" s="56">
        <v>1</v>
      </c>
      <c r="O113" s="47" t="s">
        <v>1034</v>
      </c>
      <c r="P113" s="34" t="s">
        <v>1154</v>
      </c>
      <c r="Q113" s="39" t="s">
        <v>1036</v>
      </c>
    </row>
    <row r="114" spans="1:17" ht="28.8" x14ac:dyDescent="0.3">
      <c r="A114" s="50" t="s">
        <v>981</v>
      </c>
      <c r="B114" s="47">
        <v>11</v>
      </c>
      <c r="C114" s="34" t="s">
        <v>29</v>
      </c>
      <c r="D114" s="47">
        <v>3</v>
      </c>
      <c r="E114" s="34" t="s">
        <v>392</v>
      </c>
      <c r="F114" s="56">
        <v>0.18989444444444448</v>
      </c>
      <c r="G114" s="56" t="s">
        <v>1030</v>
      </c>
      <c r="H114" s="56">
        <v>0.15191555555555558</v>
      </c>
      <c r="I114" s="56">
        <v>0.18989444444444448</v>
      </c>
      <c r="J114" s="56">
        <v>0.22787333333333337</v>
      </c>
      <c r="K114" s="56">
        <v>0.15191555555555558</v>
      </c>
      <c r="L114" s="56">
        <v>0.22787333333333337</v>
      </c>
      <c r="M114" s="56">
        <v>0</v>
      </c>
      <c r="N114" s="56">
        <v>1</v>
      </c>
      <c r="O114" s="47" t="s">
        <v>1037</v>
      </c>
      <c r="P114" s="34" t="s">
        <v>1155</v>
      </c>
      <c r="Q114" s="39" t="s">
        <v>1036</v>
      </c>
    </row>
    <row r="115" spans="1:17" ht="28.8" x14ac:dyDescent="0.3">
      <c r="A115" s="50" t="s">
        <v>981</v>
      </c>
      <c r="B115" s="47">
        <v>11</v>
      </c>
      <c r="C115" s="34" t="s">
        <v>29</v>
      </c>
      <c r="D115" s="47">
        <v>4</v>
      </c>
      <c r="E115" s="34" t="s">
        <v>455</v>
      </c>
      <c r="F115" s="56">
        <v>0.23519783333333333</v>
      </c>
      <c r="G115" s="56" t="s">
        <v>1030</v>
      </c>
      <c r="H115" s="56">
        <v>0.18815826666666668</v>
      </c>
      <c r="I115" s="56">
        <v>0.23519783333333333</v>
      </c>
      <c r="J115" s="56">
        <v>0.28223739999999997</v>
      </c>
      <c r="K115" s="56">
        <v>0.18815826666666668</v>
      </c>
      <c r="L115" s="56">
        <v>0.28223739999999997</v>
      </c>
      <c r="M115" s="56">
        <v>0</v>
      </c>
      <c r="N115" s="56">
        <v>1</v>
      </c>
      <c r="O115" s="47" t="s">
        <v>1039</v>
      </c>
      <c r="P115" s="34" t="s">
        <v>1156</v>
      </c>
      <c r="Q115" s="39" t="s">
        <v>1036</v>
      </c>
    </row>
    <row r="116" spans="1:17" ht="28.8" x14ac:dyDescent="0.3">
      <c r="A116" s="50" t="s">
        <v>981</v>
      </c>
      <c r="B116" s="47">
        <v>11</v>
      </c>
      <c r="C116" s="34" t="s">
        <v>29</v>
      </c>
      <c r="D116" s="47">
        <v>5</v>
      </c>
      <c r="E116" s="34" t="s">
        <v>458</v>
      </c>
      <c r="F116" s="56">
        <v>4.6117222222222226E-2</v>
      </c>
      <c r="G116" s="56" t="s">
        <v>1030</v>
      </c>
      <c r="H116" s="56">
        <v>3.6893777777777782E-2</v>
      </c>
      <c r="I116" s="56">
        <v>4.6117222222222226E-2</v>
      </c>
      <c r="J116" s="56">
        <v>5.534066666666667E-2</v>
      </c>
      <c r="K116" s="56">
        <v>3.6893777777777782E-2</v>
      </c>
      <c r="L116" s="56">
        <v>5.534066666666667E-2</v>
      </c>
      <c r="M116" s="56">
        <v>0</v>
      </c>
      <c r="N116" s="56">
        <v>1</v>
      </c>
      <c r="O116" s="47" t="s">
        <v>1041</v>
      </c>
      <c r="P116" s="34" t="s">
        <v>1157</v>
      </c>
      <c r="Q116" s="39" t="s">
        <v>1036</v>
      </c>
    </row>
    <row r="117" spans="1:17" ht="28.8" x14ac:dyDescent="0.3">
      <c r="A117" s="50" t="s">
        <v>981</v>
      </c>
      <c r="B117" s="47">
        <v>11</v>
      </c>
      <c r="C117" s="34" t="s">
        <v>29</v>
      </c>
      <c r="D117" s="47">
        <v>6</v>
      </c>
      <c r="E117" s="34" t="s">
        <v>459</v>
      </c>
      <c r="F117" s="56">
        <v>0.23268460317460318</v>
      </c>
      <c r="G117" s="56" t="s">
        <v>1030</v>
      </c>
      <c r="H117" s="56">
        <v>0.18614768253968256</v>
      </c>
      <c r="I117" s="56">
        <v>0.23268460317460318</v>
      </c>
      <c r="J117" s="56">
        <v>0.27922152380952381</v>
      </c>
      <c r="K117" s="56">
        <v>0.18614768253968256</v>
      </c>
      <c r="L117" s="56">
        <v>0.27922152380952381</v>
      </c>
      <c r="M117" s="56">
        <v>0</v>
      </c>
      <c r="N117" s="56">
        <v>1</v>
      </c>
      <c r="O117" s="47" t="s">
        <v>1043</v>
      </c>
      <c r="P117" s="34" t="s">
        <v>1158</v>
      </c>
      <c r="Q117" s="39" t="s">
        <v>1036</v>
      </c>
    </row>
    <row r="118" spans="1:17" ht="28.8" x14ac:dyDescent="0.3">
      <c r="A118" s="50" t="s">
        <v>981</v>
      </c>
      <c r="B118" s="47">
        <v>11</v>
      </c>
      <c r="C118" s="34" t="s">
        <v>29</v>
      </c>
      <c r="D118" s="47">
        <v>7</v>
      </c>
      <c r="E118" s="34" t="s">
        <v>562</v>
      </c>
      <c r="F118" s="56">
        <v>0.18989444444444448</v>
      </c>
      <c r="G118" s="56" t="s">
        <v>1030</v>
      </c>
      <c r="H118" s="56">
        <v>0.15191555555555558</v>
      </c>
      <c r="I118" s="56">
        <v>0.18989444444444448</v>
      </c>
      <c r="J118" s="56">
        <v>0.22787333333333337</v>
      </c>
      <c r="K118" s="56">
        <v>0.15191555555555558</v>
      </c>
      <c r="L118" s="56">
        <v>0.22787333333333337</v>
      </c>
      <c r="M118" s="56">
        <v>0</v>
      </c>
      <c r="N118" s="56">
        <v>1</v>
      </c>
      <c r="O118" s="47" t="s">
        <v>1045</v>
      </c>
      <c r="P118" s="34" t="s">
        <v>1159</v>
      </c>
      <c r="Q118" s="39" t="s">
        <v>1036</v>
      </c>
    </row>
    <row r="119" spans="1:17" ht="28.8" x14ac:dyDescent="0.3">
      <c r="A119" s="50" t="s">
        <v>981</v>
      </c>
      <c r="B119" s="47">
        <v>11</v>
      </c>
      <c r="C119" s="34" t="s">
        <v>29</v>
      </c>
      <c r="D119" s="47">
        <v>8</v>
      </c>
      <c r="E119" s="34" t="s">
        <v>567</v>
      </c>
      <c r="F119" s="56">
        <v>0.14134476481481481</v>
      </c>
      <c r="G119" s="56" t="s">
        <v>1030</v>
      </c>
      <c r="H119" s="56">
        <v>0.11307581185185185</v>
      </c>
      <c r="I119" s="56">
        <v>0.14134476481481481</v>
      </c>
      <c r="J119" s="56">
        <v>0.16961371777777776</v>
      </c>
      <c r="K119" s="56">
        <v>0.11307581185185185</v>
      </c>
      <c r="L119" s="56">
        <v>0.16961371777777776</v>
      </c>
      <c r="M119" s="56">
        <v>0</v>
      </c>
      <c r="N119" s="56">
        <v>1</v>
      </c>
      <c r="O119" s="47" t="s">
        <v>1047</v>
      </c>
      <c r="P119" s="34" t="s">
        <v>1160</v>
      </c>
      <c r="Q119" s="39" t="s">
        <v>1036</v>
      </c>
    </row>
    <row r="120" spans="1:17" ht="28.8" x14ac:dyDescent="0.3">
      <c r="A120" s="50" t="s">
        <v>981</v>
      </c>
      <c r="B120" s="47">
        <v>11</v>
      </c>
      <c r="C120" s="34" t="s">
        <v>29</v>
      </c>
      <c r="D120" s="47">
        <v>9</v>
      </c>
      <c r="E120" s="34" t="s">
        <v>636</v>
      </c>
      <c r="F120" s="56">
        <v>0.26507111111111115</v>
      </c>
      <c r="G120" s="56" t="s">
        <v>1030</v>
      </c>
      <c r="H120" s="56">
        <v>0.21205688888888893</v>
      </c>
      <c r="I120" s="56">
        <v>0.26507111111111115</v>
      </c>
      <c r="J120" s="56">
        <v>0.31808533333333339</v>
      </c>
      <c r="K120" s="56">
        <v>0.21205688888888893</v>
      </c>
      <c r="L120" s="56">
        <v>0.31808533333333339</v>
      </c>
      <c r="M120" s="56">
        <v>0</v>
      </c>
      <c r="N120" s="56">
        <v>1</v>
      </c>
      <c r="O120" s="47" t="s">
        <v>1049</v>
      </c>
      <c r="P120" s="34" t="s">
        <v>1161</v>
      </c>
      <c r="Q120" s="39" t="s">
        <v>1036</v>
      </c>
    </row>
    <row r="121" spans="1:17" ht="28.8" x14ac:dyDescent="0.3">
      <c r="A121" s="50" t="s">
        <v>981</v>
      </c>
      <c r="B121" s="47">
        <v>11</v>
      </c>
      <c r="C121" s="34" t="s">
        <v>29</v>
      </c>
      <c r="D121" s="47">
        <v>10</v>
      </c>
      <c r="E121" s="34" t="s">
        <v>838</v>
      </c>
      <c r="F121" s="56">
        <v>0.26112596049382714</v>
      </c>
      <c r="G121" s="56" t="s">
        <v>1030</v>
      </c>
      <c r="H121" s="56">
        <v>0.20890076839506172</v>
      </c>
      <c r="I121" s="56">
        <v>0.26112596049382714</v>
      </c>
      <c r="J121" s="56">
        <v>0.31335115259259255</v>
      </c>
      <c r="K121" s="56">
        <v>0.20890076839506172</v>
      </c>
      <c r="L121" s="56">
        <v>0.31335115259259255</v>
      </c>
      <c r="M121" s="56">
        <v>0</v>
      </c>
      <c r="N121" s="56">
        <v>1</v>
      </c>
      <c r="O121" s="47" t="s">
        <v>1051</v>
      </c>
      <c r="P121" s="34" t="s">
        <v>1162</v>
      </c>
      <c r="Q121" s="39" t="s">
        <v>1036</v>
      </c>
    </row>
    <row r="122" spans="1:17" ht="28.8" x14ac:dyDescent="0.3">
      <c r="A122" s="50" t="s">
        <v>981</v>
      </c>
      <c r="B122" s="47">
        <v>11</v>
      </c>
      <c r="C122" s="34" t="s">
        <v>29</v>
      </c>
      <c r="D122" s="47">
        <v>11</v>
      </c>
      <c r="E122" s="34" t="s">
        <v>843</v>
      </c>
      <c r="F122" s="56">
        <v>3.765795454545455E-2</v>
      </c>
      <c r="G122" s="56" t="s">
        <v>1030</v>
      </c>
      <c r="H122" s="56">
        <v>3.0126363636363642E-2</v>
      </c>
      <c r="I122" s="56">
        <v>3.765795454545455E-2</v>
      </c>
      <c r="J122" s="56">
        <v>4.5189545454545461E-2</v>
      </c>
      <c r="K122" s="56">
        <v>3.0126363636363642E-2</v>
      </c>
      <c r="L122" s="56">
        <v>4.5189545454545461E-2</v>
      </c>
      <c r="M122" s="56">
        <v>0</v>
      </c>
      <c r="N122" s="56">
        <v>1</v>
      </c>
      <c r="O122" s="47" t="s">
        <v>1053</v>
      </c>
      <c r="P122" s="34" t="s">
        <v>1163</v>
      </c>
      <c r="Q122" s="39" t="s">
        <v>1036</v>
      </c>
    </row>
    <row r="123" spans="1:17" ht="43.2" x14ac:dyDescent="0.3">
      <c r="A123" s="50" t="s">
        <v>981</v>
      </c>
      <c r="B123" s="47">
        <v>12</v>
      </c>
      <c r="C123" s="34" t="s">
        <v>311</v>
      </c>
      <c r="D123" s="47">
        <v>1</v>
      </c>
      <c r="E123" s="34" t="s">
        <v>9</v>
      </c>
      <c r="F123" s="56">
        <v>0.21621000000000001</v>
      </c>
      <c r="G123" s="56" t="s">
        <v>1030</v>
      </c>
      <c r="H123" s="56">
        <v>7.0000000000000007E-2</v>
      </c>
      <c r="I123" s="56">
        <v>0.21621000000000001</v>
      </c>
      <c r="J123" s="56">
        <v>0.3</v>
      </c>
      <c r="K123" s="56">
        <v>0.17296800000000001</v>
      </c>
      <c r="L123" s="56">
        <v>0.25945200000000002</v>
      </c>
      <c r="M123" s="56">
        <v>0</v>
      </c>
      <c r="N123" s="56">
        <v>1</v>
      </c>
      <c r="O123" s="47" t="s">
        <v>1031</v>
      </c>
      <c r="P123" s="34" t="s">
        <v>1164</v>
      </c>
      <c r="Q123" s="39" t="s">
        <v>1033</v>
      </c>
    </row>
    <row r="124" spans="1:17" ht="28.8" x14ac:dyDescent="0.3">
      <c r="A124" s="50" t="s">
        <v>981</v>
      </c>
      <c r="B124" s="47">
        <v>12</v>
      </c>
      <c r="C124" s="34" t="s">
        <v>311</v>
      </c>
      <c r="D124" s="47">
        <v>2</v>
      </c>
      <c r="E124" s="34" t="s">
        <v>341</v>
      </c>
      <c r="F124" s="56">
        <v>5.0809050818181822E-2</v>
      </c>
      <c r="G124" s="56" t="s">
        <v>1030</v>
      </c>
      <c r="H124" s="56">
        <v>4.0647240654545461E-2</v>
      </c>
      <c r="I124" s="56">
        <v>5.0809050818181822E-2</v>
      </c>
      <c r="J124" s="56">
        <v>6.0970860981818184E-2</v>
      </c>
      <c r="K124" s="56">
        <v>4.0647240654545461E-2</v>
      </c>
      <c r="L124" s="56">
        <v>6.0970860981818184E-2</v>
      </c>
      <c r="M124" s="56">
        <v>0</v>
      </c>
      <c r="N124" s="56">
        <v>1</v>
      </c>
      <c r="O124" s="47" t="s">
        <v>1034</v>
      </c>
      <c r="P124" s="34" t="s">
        <v>1165</v>
      </c>
      <c r="Q124" s="39" t="s">
        <v>1036</v>
      </c>
    </row>
    <row r="125" spans="1:17" ht="28.8" x14ac:dyDescent="0.3">
      <c r="A125" s="50" t="s">
        <v>981</v>
      </c>
      <c r="B125" s="47">
        <v>12</v>
      </c>
      <c r="C125" s="34" t="s">
        <v>311</v>
      </c>
      <c r="D125" s="47">
        <v>3</v>
      </c>
      <c r="E125" s="34" t="s">
        <v>392</v>
      </c>
      <c r="F125" s="56">
        <v>0.25091930029239767</v>
      </c>
      <c r="G125" s="56" t="s">
        <v>1030</v>
      </c>
      <c r="H125" s="56">
        <v>0.20073544023391815</v>
      </c>
      <c r="I125" s="56">
        <v>0.25091930029239767</v>
      </c>
      <c r="J125" s="56">
        <v>0.3011031603508772</v>
      </c>
      <c r="K125" s="56">
        <v>0.20073544023391815</v>
      </c>
      <c r="L125" s="56">
        <v>0.3011031603508772</v>
      </c>
      <c r="M125" s="56">
        <v>0</v>
      </c>
      <c r="N125" s="56">
        <v>1</v>
      </c>
      <c r="O125" s="47" t="s">
        <v>1037</v>
      </c>
      <c r="P125" s="34" t="s">
        <v>1166</v>
      </c>
      <c r="Q125" s="39" t="s">
        <v>1036</v>
      </c>
    </row>
    <row r="126" spans="1:17" ht="28.8" x14ac:dyDescent="0.3">
      <c r="A126" s="50" t="s">
        <v>981</v>
      </c>
      <c r="B126" s="47">
        <v>12</v>
      </c>
      <c r="C126" s="34" t="s">
        <v>311</v>
      </c>
      <c r="D126" s="47">
        <v>4</v>
      </c>
      <c r="E126" s="34" t="s">
        <v>455</v>
      </c>
      <c r="F126" s="56">
        <v>0.31078147621929825</v>
      </c>
      <c r="G126" s="56" t="s">
        <v>1030</v>
      </c>
      <c r="H126" s="56">
        <v>0.24862518097543862</v>
      </c>
      <c r="I126" s="56">
        <v>0.31078147621929825</v>
      </c>
      <c r="J126" s="56">
        <v>0.37293777146315787</v>
      </c>
      <c r="K126" s="56">
        <v>0.24862518097543862</v>
      </c>
      <c r="L126" s="56">
        <v>0.37293777146315787</v>
      </c>
      <c r="M126" s="56">
        <v>0</v>
      </c>
      <c r="N126" s="56">
        <v>1</v>
      </c>
      <c r="O126" s="47" t="s">
        <v>1039</v>
      </c>
      <c r="P126" s="34" t="s">
        <v>1167</v>
      </c>
      <c r="Q126" s="39" t="s">
        <v>1036</v>
      </c>
    </row>
    <row r="127" spans="1:17" ht="28.8" x14ac:dyDescent="0.3">
      <c r="A127" s="50" t="s">
        <v>981</v>
      </c>
      <c r="B127" s="47">
        <v>12</v>
      </c>
      <c r="C127" s="34" t="s">
        <v>311</v>
      </c>
      <c r="D127" s="47">
        <v>5</v>
      </c>
      <c r="E127" s="34" t="s">
        <v>458</v>
      </c>
      <c r="F127" s="56">
        <v>1.5368400000000003E-2</v>
      </c>
      <c r="G127" s="56" t="s">
        <v>1030</v>
      </c>
      <c r="H127" s="56">
        <v>1.2294720000000002E-2</v>
      </c>
      <c r="I127" s="56">
        <v>1.5368400000000003E-2</v>
      </c>
      <c r="J127" s="56">
        <v>1.8442080000000003E-2</v>
      </c>
      <c r="K127" s="56">
        <v>1.2294720000000002E-2</v>
      </c>
      <c r="L127" s="56">
        <v>1.8442080000000003E-2</v>
      </c>
      <c r="M127" s="56">
        <v>0</v>
      </c>
      <c r="N127" s="56">
        <v>1</v>
      </c>
      <c r="O127" s="47" t="s">
        <v>1041</v>
      </c>
      <c r="P127" s="34" t="s">
        <v>1168</v>
      </c>
      <c r="Q127" s="39" t="s">
        <v>1036</v>
      </c>
    </row>
    <row r="128" spans="1:17" ht="28.8" x14ac:dyDescent="0.3">
      <c r="A128" s="50" t="s">
        <v>981</v>
      </c>
      <c r="B128" s="47">
        <v>12</v>
      </c>
      <c r="C128" s="34" t="s">
        <v>311</v>
      </c>
      <c r="D128" s="47">
        <v>6</v>
      </c>
      <c r="E128" s="34" t="s">
        <v>459</v>
      </c>
      <c r="F128" s="56">
        <v>0.28575434795492521</v>
      </c>
      <c r="G128" s="56" t="s">
        <v>1030</v>
      </c>
      <c r="H128" s="56">
        <v>0.22860347836394018</v>
      </c>
      <c r="I128" s="56">
        <v>0.28575434795492521</v>
      </c>
      <c r="J128" s="56">
        <v>0.34290521754591025</v>
      </c>
      <c r="K128" s="56">
        <v>0.22860347836394018</v>
      </c>
      <c r="L128" s="56">
        <v>0.34290521754591025</v>
      </c>
      <c r="M128" s="56">
        <v>0</v>
      </c>
      <c r="N128" s="56">
        <v>1</v>
      </c>
      <c r="O128" s="47" t="s">
        <v>1043</v>
      </c>
      <c r="P128" s="34" t="s">
        <v>1169</v>
      </c>
      <c r="Q128" s="39" t="s">
        <v>1036</v>
      </c>
    </row>
    <row r="129" spans="1:17" ht="28.8" x14ac:dyDescent="0.3">
      <c r="A129" s="50" t="s">
        <v>981</v>
      </c>
      <c r="B129" s="47">
        <v>12</v>
      </c>
      <c r="C129" s="34" t="s">
        <v>311</v>
      </c>
      <c r="D129" s="47">
        <v>7</v>
      </c>
      <c r="E129" s="34" t="s">
        <v>562</v>
      </c>
      <c r="F129" s="56">
        <v>8.4128237095029243E-2</v>
      </c>
      <c r="G129" s="56" t="s">
        <v>1030</v>
      </c>
      <c r="H129" s="56">
        <v>6.73025896760234E-2</v>
      </c>
      <c r="I129" s="56">
        <v>8.4128237095029243E-2</v>
      </c>
      <c r="J129" s="56">
        <v>0.10095388451403509</v>
      </c>
      <c r="K129" s="56">
        <v>6.73025896760234E-2</v>
      </c>
      <c r="L129" s="56">
        <v>0.10095388451403509</v>
      </c>
      <c r="M129" s="56">
        <v>0</v>
      </c>
      <c r="N129" s="56">
        <v>1</v>
      </c>
      <c r="O129" s="47" t="s">
        <v>1045</v>
      </c>
      <c r="P129" s="34" t="s">
        <v>1170</v>
      </c>
      <c r="Q129" s="39" t="s">
        <v>1036</v>
      </c>
    </row>
    <row r="130" spans="1:17" ht="28.8" x14ac:dyDescent="0.3">
      <c r="A130" s="50" t="s">
        <v>981</v>
      </c>
      <c r="B130" s="47">
        <v>12</v>
      </c>
      <c r="C130" s="34" t="s">
        <v>311</v>
      </c>
      <c r="D130" s="47">
        <v>8</v>
      </c>
      <c r="E130" s="34" t="s">
        <v>567</v>
      </c>
      <c r="F130" s="56">
        <v>0.18676759918430799</v>
      </c>
      <c r="G130" s="56" t="s">
        <v>1030</v>
      </c>
      <c r="H130" s="56">
        <v>0.14941407934744641</v>
      </c>
      <c r="I130" s="56">
        <v>0.18676759918430799</v>
      </c>
      <c r="J130" s="56">
        <v>0.22412111902116957</v>
      </c>
      <c r="K130" s="56">
        <v>0.14941407934744641</v>
      </c>
      <c r="L130" s="56">
        <v>0.22412111902116957</v>
      </c>
      <c r="M130" s="56">
        <v>0</v>
      </c>
      <c r="N130" s="56">
        <v>1</v>
      </c>
      <c r="O130" s="47" t="s">
        <v>1047</v>
      </c>
      <c r="P130" s="34" t="s">
        <v>1171</v>
      </c>
      <c r="Q130" s="39" t="s">
        <v>1036</v>
      </c>
    </row>
    <row r="131" spans="1:17" ht="28.8" x14ac:dyDescent="0.3">
      <c r="A131" s="50" t="s">
        <v>981</v>
      </c>
      <c r="B131" s="47">
        <v>12</v>
      </c>
      <c r="C131" s="34" t="s">
        <v>311</v>
      </c>
      <c r="D131" s="47">
        <v>9</v>
      </c>
      <c r="E131" s="34" t="s">
        <v>636</v>
      </c>
      <c r="F131" s="56">
        <v>0.32552743707070708</v>
      </c>
      <c r="G131" s="56" t="s">
        <v>1030</v>
      </c>
      <c r="H131" s="56">
        <v>0.26042194965656568</v>
      </c>
      <c r="I131" s="56">
        <v>0.32552743707070708</v>
      </c>
      <c r="J131" s="56">
        <v>0.39063292448484849</v>
      </c>
      <c r="K131" s="56">
        <v>0.26042194965656568</v>
      </c>
      <c r="L131" s="56">
        <v>0.39063292448484849</v>
      </c>
      <c r="M131" s="56">
        <v>0</v>
      </c>
      <c r="N131" s="56">
        <v>1</v>
      </c>
      <c r="O131" s="47" t="s">
        <v>1049</v>
      </c>
      <c r="P131" s="34" t="s">
        <v>1172</v>
      </c>
      <c r="Q131" s="39" t="s">
        <v>1036</v>
      </c>
    </row>
    <row r="132" spans="1:17" ht="28.8" x14ac:dyDescent="0.3">
      <c r="A132" s="50" t="s">
        <v>981</v>
      </c>
      <c r="B132" s="47">
        <v>12</v>
      </c>
      <c r="C132" s="34" t="s">
        <v>311</v>
      </c>
      <c r="D132" s="47">
        <v>10</v>
      </c>
      <c r="E132" s="34" t="s">
        <v>838</v>
      </c>
      <c r="F132" s="56">
        <v>0.34504191782430149</v>
      </c>
      <c r="G132" s="56" t="s">
        <v>1030</v>
      </c>
      <c r="H132" s="56">
        <v>0.27603353425944122</v>
      </c>
      <c r="I132" s="56">
        <v>0.34504191782430149</v>
      </c>
      <c r="J132" s="56">
        <v>0.41405030138916177</v>
      </c>
      <c r="K132" s="56">
        <v>0.27603353425944122</v>
      </c>
      <c r="L132" s="56">
        <v>0.41405030138916177</v>
      </c>
      <c r="M132" s="56">
        <v>0</v>
      </c>
      <c r="N132" s="56">
        <v>1</v>
      </c>
      <c r="O132" s="47" t="s">
        <v>1051</v>
      </c>
      <c r="P132" s="34" t="s">
        <v>1173</v>
      </c>
      <c r="Q132" s="39" t="s">
        <v>1036</v>
      </c>
    </row>
    <row r="133" spans="1:17" ht="28.8" x14ac:dyDescent="0.3">
      <c r="A133" s="50" t="s">
        <v>981</v>
      </c>
      <c r="B133" s="47">
        <v>12</v>
      </c>
      <c r="C133" s="34" t="s">
        <v>311</v>
      </c>
      <c r="D133" s="47">
        <v>11</v>
      </c>
      <c r="E133" s="34" t="s">
        <v>843</v>
      </c>
      <c r="F133" s="56">
        <v>3.3950192097107444E-2</v>
      </c>
      <c r="G133" s="56" t="s">
        <v>1030</v>
      </c>
      <c r="H133" s="56">
        <v>2.7160153677685955E-2</v>
      </c>
      <c r="I133" s="56">
        <v>3.3950192097107444E-2</v>
      </c>
      <c r="J133" s="56">
        <v>4.0740230516528933E-2</v>
      </c>
      <c r="K133" s="56">
        <v>2.7160153677685955E-2</v>
      </c>
      <c r="L133" s="56">
        <v>4.0740230516528933E-2</v>
      </c>
      <c r="M133" s="56">
        <v>0</v>
      </c>
      <c r="N133" s="56">
        <v>1</v>
      </c>
      <c r="O133" s="47" t="s">
        <v>1053</v>
      </c>
      <c r="P133" s="34" t="s">
        <v>1174</v>
      </c>
      <c r="Q133" s="39" t="s">
        <v>1036</v>
      </c>
    </row>
    <row r="134" spans="1:17" ht="43.2" x14ac:dyDescent="0.3">
      <c r="A134" s="50" t="s">
        <v>981</v>
      </c>
      <c r="B134" s="47">
        <v>13</v>
      </c>
      <c r="C134" s="34" t="s">
        <v>324</v>
      </c>
      <c r="D134" s="47">
        <v>1</v>
      </c>
      <c r="E134" s="34" t="s">
        <v>9</v>
      </c>
      <c r="F134" s="56">
        <v>0.12896649825000001</v>
      </c>
      <c r="G134" s="56" t="s">
        <v>1030</v>
      </c>
      <c r="H134" s="56">
        <v>2.896249125E-2</v>
      </c>
      <c r="I134" s="56">
        <v>0.12896649825000001</v>
      </c>
      <c r="J134" s="56">
        <v>0.19829000000000002</v>
      </c>
      <c r="K134" s="56">
        <v>0.10317319860000002</v>
      </c>
      <c r="L134" s="56">
        <v>0.1547597979</v>
      </c>
      <c r="M134" s="56">
        <v>0</v>
      </c>
      <c r="N134" s="56">
        <v>1</v>
      </c>
      <c r="O134" s="47" t="s">
        <v>1031</v>
      </c>
      <c r="P134" s="34" t="s">
        <v>1175</v>
      </c>
      <c r="Q134" s="39" t="s">
        <v>1033</v>
      </c>
    </row>
    <row r="135" spans="1:17" ht="28.8" x14ac:dyDescent="0.3">
      <c r="A135" s="50" t="s">
        <v>981</v>
      </c>
      <c r="B135" s="47">
        <v>13</v>
      </c>
      <c r="C135" s="34" t="s">
        <v>324</v>
      </c>
      <c r="D135" s="47">
        <v>2</v>
      </c>
      <c r="E135" s="34" t="s">
        <v>341</v>
      </c>
      <c r="F135" s="56">
        <v>3.5697504272727269E-2</v>
      </c>
      <c r="G135" s="56" t="s">
        <v>1030</v>
      </c>
      <c r="H135" s="56">
        <v>2.8558003418181818E-2</v>
      </c>
      <c r="I135" s="56">
        <v>3.5697504272727269E-2</v>
      </c>
      <c r="J135" s="56">
        <v>4.2837005127272725E-2</v>
      </c>
      <c r="K135" s="56">
        <v>2.8558003418181818E-2</v>
      </c>
      <c r="L135" s="56">
        <v>4.2837005127272725E-2</v>
      </c>
      <c r="M135" s="56">
        <v>0</v>
      </c>
      <c r="N135" s="56">
        <v>1</v>
      </c>
      <c r="O135" s="47" t="s">
        <v>1034</v>
      </c>
      <c r="P135" s="34" t="s">
        <v>1176</v>
      </c>
      <c r="Q135" s="39" t="s">
        <v>1036</v>
      </c>
    </row>
    <row r="136" spans="1:17" ht="28.8" x14ac:dyDescent="0.3">
      <c r="A136" s="50" t="s">
        <v>981</v>
      </c>
      <c r="B136" s="47">
        <v>13</v>
      </c>
      <c r="C136" s="34" t="s">
        <v>324</v>
      </c>
      <c r="D136" s="47">
        <v>3</v>
      </c>
      <c r="E136" s="34" t="s">
        <v>392</v>
      </c>
      <c r="F136" s="56">
        <v>0.10423547105263159</v>
      </c>
      <c r="G136" s="56" t="s">
        <v>1030</v>
      </c>
      <c r="H136" s="56">
        <v>8.3388376842105275E-2</v>
      </c>
      <c r="I136" s="56">
        <v>0.10423547105263159</v>
      </c>
      <c r="J136" s="56">
        <v>0.12508256526315789</v>
      </c>
      <c r="K136" s="56">
        <v>8.3388376842105275E-2</v>
      </c>
      <c r="L136" s="56">
        <v>0.12508256526315789</v>
      </c>
      <c r="M136" s="56">
        <v>0</v>
      </c>
      <c r="N136" s="56">
        <v>1</v>
      </c>
      <c r="O136" s="47" t="s">
        <v>1037</v>
      </c>
      <c r="P136" s="34" t="s">
        <v>1177</v>
      </c>
      <c r="Q136" s="39" t="s">
        <v>1036</v>
      </c>
    </row>
    <row r="137" spans="1:17" ht="28.8" x14ac:dyDescent="0.3">
      <c r="A137" s="50" t="s">
        <v>981</v>
      </c>
      <c r="B137" s="47">
        <v>13</v>
      </c>
      <c r="C137" s="34" t="s">
        <v>324</v>
      </c>
      <c r="D137" s="47">
        <v>4</v>
      </c>
      <c r="E137" s="34" t="s">
        <v>455</v>
      </c>
      <c r="F137" s="56">
        <v>0.12910307628947368</v>
      </c>
      <c r="G137" s="56" t="s">
        <v>1030</v>
      </c>
      <c r="H137" s="56">
        <v>0.10328246103157895</v>
      </c>
      <c r="I137" s="56">
        <v>0.12910307628947368</v>
      </c>
      <c r="J137" s="56">
        <v>0.1549236915473684</v>
      </c>
      <c r="K137" s="56">
        <v>0.10328246103157895</v>
      </c>
      <c r="L137" s="56">
        <v>0.1549236915473684</v>
      </c>
      <c r="M137" s="56">
        <v>0</v>
      </c>
      <c r="N137" s="56">
        <v>1</v>
      </c>
      <c r="O137" s="47" t="s">
        <v>1039</v>
      </c>
      <c r="P137" s="34" t="s">
        <v>1178</v>
      </c>
      <c r="Q137" s="39" t="s">
        <v>1036</v>
      </c>
    </row>
    <row r="138" spans="1:17" ht="28.8" x14ac:dyDescent="0.3">
      <c r="A138" s="50" t="s">
        <v>981</v>
      </c>
      <c r="B138" s="47">
        <v>13</v>
      </c>
      <c r="C138" s="34" t="s">
        <v>324</v>
      </c>
      <c r="D138" s="47">
        <v>5</v>
      </c>
      <c r="E138" s="34" t="s">
        <v>458</v>
      </c>
      <c r="F138" s="56">
        <v>6.0788786388888891E-3</v>
      </c>
      <c r="G138" s="56" t="s">
        <v>1030</v>
      </c>
      <c r="H138" s="56">
        <v>4.8631029111111113E-3</v>
      </c>
      <c r="I138" s="56">
        <v>6.0788786388888891E-3</v>
      </c>
      <c r="J138" s="56">
        <v>7.2946543666666669E-3</v>
      </c>
      <c r="K138" s="56">
        <v>4.8631029111111113E-3</v>
      </c>
      <c r="L138" s="56">
        <v>7.2946543666666669E-3</v>
      </c>
      <c r="M138" s="56">
        <v>0</v>
      </c>
      <c r="N138" s="56">
        <v>1</v>
      </c>
      <c r="O138" s="47" t="s">
        <v>1041</v>
      </c>
      <c r="P138" s="34" t="s">
        <v>1179</v>
      </c>
      <c r="Q138" s="39" t="s">
        <v>1036</v>
      </c>
    </row>
    <row r="139" spans="1:17" ht="28.8" x14ac:dyDescent="0.3">
      <c r="A139" s="50" t="s">
        <v>981</v>
      </c>
      <c r="B139" s="47">
        <v>13</v>
      </c>
      <c r="C139" s="34" t="s">
        <v>324</v>
      </c>
      <c r="D139" s="47">
        <v>6</v>
      </c>
      <c r="E139" s="34" t="s">
        <v>459</v>
      </c>
      <c r="F139" s="56">
        <v>5.5730757384559883E-2</v>
      </c>
      <c r="G139" s="56" t="s">
        <v>1030</v>
      </c>
      <c r="H139" s="56">
        <v>4.4584605907647908E-2</v>
      </c>
      <c r="I139" s="56">
        <v>5.5730757384559883E-2</v>
      </c>
      <c r="J139" s="56">
        <v>6.6876908861471851E-2</v>
      </c>
      <c r="K139" s="56">
        <v>4.4584605907647908E-2</v>
      </c>
      <c r="L139" s="56">
        <v>6.6876908861471851E-2</v>
      </c>
      <c r="M139" s="56">
        <v>0</v>
      </c>
      <c r="N139" s="56">
        <v>1</v>
      </c>
      <c r="O139" s="47" t="s">
        <v>1043</v>
      </c>
      <c r="P139" s="34" t="s">
        <v>1180</v>
      </c>
      <c r="Q139" s="39" t="s">
        <v>1036</v>
      </c>
    </row>
    <row r="140" spans="1:17" ht="28.8" x14ac:dyDescent="0.3">
      <c r="A140" s="50" t="s">
        <v>981</v>
      </c>
      <c r="B140" s="47">
        <v>13</v>
      </c>
      <c r="C140" s="34" t="s">
        <v>324</v>
      </c>
      <c r="D140" s="47">
        <v>7</v>
      </c>
      <c r="E140" s="34" t="s">
        <v>562</v>
      </c>
      <c r="F140" s="56">
        <v>3.4728761592105258E-2</v>
      </c>
      <c r="G140" s="56" t="s">
        <v>1030</v>
      </c>
      <c r="H140" s="56">
        <v>2.7783009273684208E-2</v>
      </c>
      <c r="I140" s="56">
        <v>3.4728761592105258E-2</v>
      </c>
      <c r="J140" s="56">
        <v>4.167451391052631E-2</v>
      </c>
      <c r="K140" s="56">
        <v>2.7783009273684208E-2</v>
      </c>
      <c r="L140" s="56">
        <v>4.167451391052631E-2</v>
      </c>
      <c r="M140" s="56">
        <v>0</v>
      </c>
      <c r="N140" s="56">
        <v>1</v>
      </c>
      <c r="O140" s="47" t="s">
        <v>1045</v>
      </c>
      <c r="P140" s="34" t="s">
        <v>1181</v>
      </c>
      <c r="Q140" s="39" t="s">
        <v>1036</v>
      </c>
    </row>
    <row r="141" spans="1:17" ht="28.8" x14ac:dyDescent="0.3">
      <c r="A141" s="50" t="s">
        <v>981</v>
      </c>
      <c r="B141" s="47">
        <v>13</v>
      </c>
      <c r="C141" s="34" t="s">
        <v>324</v>
      </c>
      <c r="D141" s="47">
        <v>8</v>
      </c>
      <c r="E141" s="34" t="s">
        <v>567</v>
      </c>
      <c r="F141" s="56">
        <v>7.7585935620175434E-2</v>
      </c>
      <c r="G141" s="56" t="s">
        <v>1030</v>
      </c>
      <c r="H141" s="56">
        <v>6.2068748496140351E-2</v>
      </c>
      <c r="I141" s="56">
        <v>7.7585935620175434E-2</v>
      </c>
      <c r="J141" s="56">
        <v>9.3103122744210523E-2</v>
      </c>
      <c r="K141" s="56">
        <v>6.2068748496140351E-2</v>
      </c>
      <c r="L141" s="56">
        <v>9.3103122744210523E-2</v>
      </c>
      <c r="M141" s="56">
        <v>0</v>
      </c>
      <c r="N141" s="56">
        <v>1</v>
      </c>
      <c r="O141" s="47" t="s">
        <v>1047</v>
      </c>
      <c r="P141" s="34" t="s">
        <v>1182</v>
      </c>
      <c r="Q141" s="39" t="s">
        <v>1036</v>
      </c>
    </row>
    <row r="142" spans="1:17" ht="43.2" x14ac:dyDescent="0.3">
      <c r="A142" s="50" t="s">
        <v>981</v>
      </c>
      <c r="B142" s="47">
        <v>13</v>
      </c>
      <c r="C142" s="34" t="s">
        <v>324</v>
      </c>
      <c r="D142" s="47">
        <v>9</v>
      </c>
      <c r="E142" s="34" t="s">
        <v>636</v>
      </c>
      <c r="F142" s="56">
        <v>0.26755260000000003</v>
      </c>
      <c r="G142" s="56" t="s">
        <v>1030</v>
      </c>
      <c r="H142" s="56">
        <v>0.2</v>
      </c>
      <c r="I142" s="56">
        <v>0.26755260000000003</v>
      </c>
      <c r="J142" s="56">
        <v>0.34</v>
      </c>
      <c r="K142" s="56">
        <v>0.21404208000000002</v>
      </c>
      <c r="L142" s="56">
        <v>0.32106312000000004</v>
      </c>
      <c r="M142" s="56">
        <v>0</v>
      </c>
      <c r="N142" s="56">
        <v>1</v>
      </c>
      <c r="O142" s="47" t="s">
        <v>1049</v>
      </c>
      <c r="P142" s="34" t="s">
        <v>1183</v>
      </c>
      <c r="Q142" s="39" t="s">
        <v>1033</v>
      </c>
    </row>
    <row r="143" spans="1:17" ht="28.8" x14ac:dyDescent="0.3">
      <c r="A143" s="50" t="s">
        <v>981</v>
      </c>
      <c r="B143" s="47">
        <v>13</v>
      </c>
      <c r="C143" s="34" t="s">
        <v>324</v>
      </c>
      <c r="D143" s="47">
        <v>10</v>
      </c>
      <c r="E143" s="34" t="s">
        <v>838</v>
      </c>
      <c r="F143" s="56">
        <v>0.14333535441637427</v>
      </c>
      <c r="G143" s="56" t="s">
        <v>1030</v>
      </c>
      <c r="H143" s="56">
        <v>0.11466828353309942</v>
      </c>
      <c r="I143" s="56">
        <v>0.14333535441637427</v>
      </c>
      <c r="J143" s="56">
        <v>0.17200242529964913</v>
      </c>
      <c r="K143" s="56">
        <v>0.11466828353309942</v>
      </c>
      <c r="L143" s="56">
        <v>0.17200242529964913</v>
      </c>
      <c r="M143" s="56">
        <v>0</v>
      </c>
      <c r="N143" s="56">
        <v>1</v>
      </c>
      <c r="O143" s="47" t="s">
        <v>1051</v>
      </c>
      <c r="P143" s="34" t="s">
        <v>1184</v>
      </c>
      <c r="Q143" s="39" t="s">
        <v>1036</v>
      </c>
    </row>
    <row r="144" spans="1:17" ht="43.2" x14ac:dyDescent="0.3">
      <c r="A144" s="50" t="s">
        <v>981</v>
      </c>
      <c r="B144" s="47">
        <v>13</v>
      </c>
      <c r="C144" s="34" t="s">
        <v>324</v>
      </c>
      <c r="D144" s="47">
        <v>11</v>
      </c>
      <c r="E144" s="34" t="s">
        <v>843</v>
      </c>
      <c r="F144" s="56">
        <v>0.18929400000000002</v>
      </c>
      <c r="G144" s="56" t="s">
        <v>1030</v>
      </c>
      <c r="H144" s="56">
        <v>4.9489999999999999E-2</v>
      </c>
      <c r="I144" s="56">
        <v>0.18929400000000002</v>
      </c>
      <c r="J144" s="56">
        <v>0.7</v>
      </c>
      <c r="K144" s="56">
        <v>0.15143520000000002</v>
      </c>
      <c r="L144" s="56">
        <v>0.22715280000000002</v>
      </c>
      <c r="M144" s="56">
        <v>0</v>
      </c>
      <c r="N144" s="56">
        <v>1</v>
      </c>
      <c r="O144" s="47" t="s">
        <v>1053</v>
      </c>
      <c r="P144" s="34" t="s">
        <v>1185</v>
      </c>
      <c r="Q144" s="39" t="s">
        <v>1033</v>
      </c>
    </row>
    <row r="145" spans="1:17" ht="28.8" x14ac:dyDescent="0.3">
      <c r="A145" s="50" t="s">
        <v>981</v>
      </c>
      <c r="B145" s="47">
        <v>14</v>
      </c>
      <c r="C145" s="34" t="s">
        <v>333</v>
      </c>
      <c r="D145" s="47">
        <v>1</v>
      </c>
      <c r="E145" s="34" t="s">
        <v>9</v>
      </c>
      <c r="F145" s="56">
        <v>1.1099365342023266E-2</v>
      </c>
      <c r="G145" s="56" t="s">
        <v>1030</v>
      </c>
      <c r="H145" s="56">
        <v>8.8794922736186131E-3</v>
      </c>
      <c r="I145" s="56">
        <v>1.1099365342023266E-2</v>
      </c>
      <c r="J145" s="56">
        <v>1.3319238410427918E-2</v>
      </c>
      <c r="K145" s="56">
        <v>8.8794922736186131E-3</v>
      </c>
      <c r="L145" s="56">
        <v>1.3319238410427918E-2</v>
      </c>
      <c r="M145" s="56">
        <v>0</v>
      </c>
      <c r="N145" s="56">
        <v>1</v>
      </c>
      <c r="O145" s="47" t="s">
        <v>1031</v>
      </c>
      <c r="P145" s="34" t="s">
        <v>1186</v>
      </c>
      <c r="Q145" s="39" t="s">
        <v>1036</v>
      </c>
    </row>
    <row r="146" spans="1:17" ht="28.8" x14ac:dyDescent="0.3">
      <c r="A146" s="50" t="s">
        <v>981</v>
      </c>
      <c r="B146" s="47">
        <v>14</v>
      </c>
      <c r="C146" s="34" t="s">
        <v>333</v>
      </c>
      <c r="D146" s="47">
        <v>2</v>
      </c>
      <c r="E146" s="34" t="s">
        <v>341</v>
      </c>
      <c r="F146" s="56">
        <v>1.839816E-2</v>
      </c>
      <c r="G146" s="56" t="s">
        <v>1030</v>
      </c>
      <c r="H146" s="56">
        <v>1.4718528000000002E-2</v>
      </c>
      <c r="I146" s="56">
        <v>1.839816E-2</v>
      </c>
      <c r="J146" s="56">
        <v>2.2077791999999999E-2</v>
      </c>
      <c r="K146" s="56">
        <v>1.4718528000000002E-2</v>
      </c>
      <c r="L146" s="56">
        <v>2.2077791999999999E-2</v>
      </c>
      <c r="M146" s="56">
        <v>0</v>
      </c>
      <c r="N146" s="56">
        <v>1</v>
      </c>
      <c r="O146" s="47" t="s">
        <v>1034</v>
      </c>
      <c r="P146" s="34" t="s">
        <v>1187</v>
      </c>
      <c r="Q146" s="39" t="s">
        <v>1036</v>
      </c>
    </row>
    <row r="147" spans="1:17" ht="28.8" x14ac:dyDescent="0.3">
      <c r="A147" s="50" t="s">
        <v>981</v>
      </c>
      <c r="B147" s="47">
        <v>14</v>
      </c>
      <c r="C147" s="34" t="s">
        <v>333</v>
      </c>
      <c r="D147" s="47">
        <v>3</v>
      </c>
      <c r="E147" s="34" t="s">
        <v>392</v>
      </c>
      <c r="F147" s="56">
        <v>1.8900000000000004E-2</v>
      </c>
      <c r="G147" s="56" t="s">
        <v>1030</v>
      </c>
      <c r="H147" s="56">
        <v>1.5120000000000003E-2</v>
      </c>
      <c r="I147" s="56">
        <v>1.8900000000000004E-2</v>
      </c>
      <c r="J147" s="56">
        <v>2.2680000000000002E-2</v>
      </c>
      <c r="K147" s="56">
        <v>1.5120000000000003E-2</v>
      </c>
      <c r="L147" s="56">
        <v>2.2680000000000002E-2</v>
      </c>
      <c r="M147" s="56">
        <v>0</v>
      </c>
      <c r="N147" s="56">
        <v>1</v>
      </c>
      <c r="O147" s="47" t="s">
        <v>1037</v>
      </c>
      <c r="P147" s="34" t="s">
        <v>1188</v>
      </c>
      <c r="Q147" s="39" t="s">
        <v>1036</v>
      </c>
    </row>
    <row r="148" spans="1:17" ht="28.8" x14ac:dyDescent="0.3">
      <c r="A148" s="50" t="s">
        <v>981</v>
      </c>
      <c r="B148" s="47">
        <v>14</v>
      </c>
      <c r="C148" s="34" t="s">
        <v>333</v>
      </c>
      <c r="D148" s="47">
        <v>4</v>
      </c>
      <c r="E148" s="34" t="s">
        <v>455</v>
      </c>
      <c r="F148" s="56">
        <v>2.3409000000000003E-2</v>
      </c>
      <c r="G148" s="56" t="s">
        <v>1030</v>
      </c>
      <c r="H148" s="56">
        <v>1.8727200000000003E-2</v>
      </c>
      <c r="I148" s="56">
        <v>2.3409000000000003E-2</v>
      </c>
      <c r="J148" s="56">
        <v>2.8090800000000003E-2</v>
      </c>
      <c r="K148" s="56">
        <v>1.8727200000000003E-2</v>
      </c>
      <c r="L148" s="56">
        <v>2.8090800000000003E-2</v>
      </c>
      <c r="M148" s="56">
        <v>0</v>
      </c>
      <c r="N148" s="56">
        <v>1</v>
      </c>
      <c r="O148" s="47" t="s">
        <v>1039</v>
      </c>
      <c r="P148" s="34" t="s">
        <v>1189</v>
      </c>
      <c r="Q148" s="39" t="s">
        <v>1036</v>
      </c>
    </row>
    <row r="149" spans="1:17" ht="28.8" x14ac:dyDescent="0.3">
      <c r="A149" s="50" t="s">
        <v>981</v>
      </c>
      <c r="B149" s="47">
        <v>14</v>
      </c>
      <c r="C149" s="34" t="s">
        <v>333</v>
      </c>
      <c r="D149" s="47">
        <v>5</v>
      </c>
      <c r="E149" s="34" t="s">
        <v>458</v>
      </c>
      <c r="F149" s="56">
        <v>1.2039692873684212E-3</v>
      </c>
      <c r="G149" s="56" t="s">
        <v>1030</v>
      </c>
      <c r="H149" s="56">
        <v>9.6317542989473703E-4</v>
      </c>
      <c r="I149" s="56">
        <v>1.2039692873684212E-3</v>
      </c>
      <c r="J149" s="56">
        <v>1.4447631448421055E-3</v>
      </c>
      <c r="K149" s="56">
        <v>9.6317542989473703E-4</v>
      </c>
      <c r="L149" s="56">
        <v>1.4447631448421055E-3</v>
      </c>
      <c r="M149" s="56">
        <v>0</v>
      </c>
      <c r="N149" s="56">
        <v>1</v>
      </c>
      <c r="O149" s="47" t="s">
        <v>1041</v>
      </c>
      <c r="P149" s="34" t="s">
        <v>1190</v>
      </c>
      <c r="Q149" s="39" t="s">
        <v>1036</v>
      </c>
    </row>
    <row r="150" spans="1:17" ht="28.8" x14ac:dyDescent="0.3">
      <c r="A150" s="50" t="s">
        <v>981</v>
      </c>
      <c r="B150" s="47">
        <v>14</v>
      </c>
      <c r="C150" s="34" t="s">
        <v>333</v>
      </c>
      <c r="D150" s="47">
        <v>6</v>
      </c>
      <c r="E150" s="34" t="s">
        <v>459</v>
      </c>
      <c r="F150" s="56">
        <v>3.4891571428571432E-2</v>
      </c>
      <c r="G150" s="56" t="s">
        <v>1030</v>
      </c>
      <c r="H150" s="56">
        <v>2.7913257142857147E-2</v>
      </c>
      <c r="I150" s="56">
        <v>3.4891571428571432E-2</v>
      </c>
      <c r="J150" s="56">
        <v>4.1869885714285716E-2</v>
      </c>
      <c r="K150" s="56">
        <v>2.7913257142857147E-2</v>
      </c>
      <c r="L150" s="56">
        <v>4.1869885714285716E-2</v>
      </c>
      <c r="M150" s="56">
        <v>0</v>
      </c>
      <c r="N150" s="56">
        <v>1</v>
      </c>
      <c r="O150" s="47" t="s">
        <v>1043</v>
      </c>
      <c r="P150" s="34" t="s">
        <v>1191</v>
      </c>
      <c r="Q150" s="39" t="s">
        <v>1036</v>
      </c>
    </row>
    <row r="151" spans="1:17" ht="28.8" x14ac:dyDescent="0.3">
      <c r="A151" s="50" t="s">
        <v>981</v>
      </c>
      <c r="B151" s="47">
        <v>14</v>
      </c>
      <c r="C151" s="34" t="s">
        <v>333</v>
      </c>
      <c r="D151" s="47">
        <v>7</v>
      </c>
      <c r="E151" s="34" t="s">
        <v>562</v>
      </c>
      <c r="F151" s="56">
        <v>6.3855000000000006E-3</v>
      </c>
      <c r="G151" s="56" t="s">
        <v>1030</v>
      </c>
      <c r="H151" s="56">
        <v>5.1084000000000008E-3</v>
      </c>
      <c r="I151" s="56">
        <v>6.3855000000000006E-3</v>
      </c>
      <c r="J151" s="56">
        <v>7.6626000000000003E-3</v>
      </c>
      <c r="K151" s="56">
        <v>5.1084000000000008E-3</v>
      </c>
      <c r="L151" s="56">
        <v>7.6626000000000003E-3</v>
      </c>
      <c r="M151" s="56">
        <v>0</v>
      </c>
      <c r="N151" s="56">
        <v>1</v>
      </c>
      <c r="O151" s="47" t="s">
        <v>1045</v>
      </c>
      <c r="P151" s="34" t="s">
        <v>1192</v>
      </c>
      <c r="Q151" s="39" t="s">
        <v>1036</v>
      </c>
    </row>
    <row r="152" spans="1:17" ht="28.8" x14ac:dyDescent="0.3">
      <c r="A152" s="50" t="s">
        <v>981</v>
      </c>
      <c r="B152" s="47">
        <v>14</v>
      </c>
      <c r="C152" s="34" t="s">
        <v>333</v>
      </c>
      <c r="D152" s="47">
        <v>8</v>
      </c>
      <c r="E152" s="34" t="s">
        <v>567</v>
      </c>
      <c r="F152" s="56">
        <v>1.4067900000000001E-2</v>
      </c>
      <c r="G152" s="56" t="s">
        <v>1030</v>
      </c>
      <c r="H152" s="56">
        <v>1.1254320000000002E-2</v>
      </c>
      <c r="I152" s="56">
        <v>1.4067900000000001E-2</v>
      </c>
      <c r="J152" s="56">
        <v>1.6881480000000001E-2</v>
      </c>
      <c r="K152" s="56">
        <v>1.1254320000000002E-2</v>
      </c>
      <c r="L152" s="56">
        <v>1.6881480000000001E-2</v>
      </c>
      <c r="M152" s="56">
        <v>0</v>
      </c>
      <c r="N152" s="56">
        <v>1</v>
      </c>
      <c r="O152" s="47" t="s">
        <v>1047</v>
      </c>
      <c r="P152" s="34" t="s">
        <v>1193</v>
      </c>
      <c r="Q152" s="39" t="s">
        <v>1036</v>
      </c>
    </row>
    <row r="153" spans="1:17" ht="28.8" x14ac:dyDescent="0.3">
      <c r="A153" s="50" t="s">
        <v>981</v>
      </c>
      <c r="B153" s="47">
        <v>14</v>
      </c>
      <c r="C153" s="34" t="s">
        <v>333</v>
      </c>
      <c r="D153" s="47">
        <v>9</v>
      </c>
      <c r="E153" s="34" t="s">
        <v>636</v>
      </c>
      <c r="F153" s="56">
        <v>7.4340426666666667E-2</v>
      </c>
      <c r="G153" s="56" t="s">
        <v>1030</v>
      </c>
      <c r="H153" s="56">
        <v>5.9472341333333338E-2</v>
      </c>
      <c r="I153" s="56">
        <v>7.4340426666666667E-2</v>
      </c>
      <c r="J153" s="56">
        <v>8.9208512000000004E-2</v>
      </c>
      <c r="K153" s="56">
        <v>5.9472341333333338E-2</v>
      </c>
      <c r="L153" s="56">
        <v>8.9208512000000004E-2</v>
      </c>
      <c r="M153" s="56">
        <v>0</v>
      </c>
      <c r="N153" s="56">
        <v>1</v>
      </c>
      <c r="O153" s="47" t="s">
        <v>1049</v>
      </c>
      <c r="P153" s="34" t="s">
        <v>1194</v>
      </c>
      <c r="Q153" s="39" t="s">
        <v>1036</v>
      </c>
    </row>
    <row r="154" spans="1:17" ht="28.8" x14ac:dyDescent="0.3">
      <c r="A154" s="50" t="s">
        <v>981</v>
      </c>
      <c r="B154" s="47">
        <v>14</v>
      </c>
      <c r="C154" s="34" t="s">
        <v>333</v>
      </c>
      <c r="D154" s="47">
        <v>10</v>
      </c>
      <c r="E154" s="34" t="s">
        <v>838</v>
      </c>
      <c r="F154" s="56">
        <v>2.5989600000000002E-2</v>
      </c>
      <c r="G154" s="56" t="s">
        <v>1030</v>
      </c>
      <c r="H154" s="56">
        <v>2.0791680000000003E-2</v>
      </c>
      <c r="I154" s="56">
        <v>2.5989600000000002E-2</v>
      </c>
      <c r="J154" s="56">
        <v>3.118752E-2</v>
      </c>
      <c r="K154" s="56">
        <v>2.0791680000000003E-2</v>
      </c>
      <c r="L154" s="56">
        <v>3.118752E-2</v>
      </c>
      <c r="M154" s="56">
        <v>0</v>
      </c>
      <c r="N154" s="56">
        <v>1</v>
      </c>
      <c r="O154" s="47" t="s">
        <v>1051</v>
      </c>
      <c r="P154" s="34" t="s">
        <v>1195</v>
      </c>
      <c r="Q154" s="39" t="s">
        <v>1036</v>
      </c>
    </row>
    <row r="155" spans="1:17" ht="28.8" x14ac:dyDescent="0.3">
      <c r="A155" s="50" t="s">
        <v>981</v>
      </c>
      <c r="B155" s="47">
        <v>14</v>
      </c>
      <c r="C155" s="34" t="s">
        <v>333</v>
      </c>
      <c r="D155" s="47">
        <v>11</v>
      </c>
      <c r="E155" s="34" t="s">
        <v>843</v>
      </c>
      <c r="F155" s="56">
        <v>1.2293500000000001E-2</v>
      </c>
      <c r="G155" s="56" t="s">
        <v>1030</v>
      </c>
      <c r="H155" s="56">
        <v>9.8348000000000012E-3</v>
      </c>
      <c r="I155" s="56">
        <v>1.2293500000000001E-2</v>
      </c>
      <c r="J155" s="56">
        <v>1.47522E-2</v>
      </c>
      <c r="K155" s="56">
        <v>9.8348000000000012E-3</v>
      </c>
      <c r="L155" s="56">
        <v>1.47522E-2</v>
      </c>
      <c r="M155" s="56">
        <v>0</v>
      </c>
      <c r="N155" s="56">
        <v>1</v>
      </c>
      <c r="O155" s="47" t="s">
        <v>1053</v>
      </c>
      <c r="P155" s="34" t="s">
        <v>1196</v>
      </c>
      <c r="Q155" s="39" t="s">
        <v>1036</v>
      </c>
    </row>
    <row r="156" spans="1:17" ht="28.8" x14ac:dyDescent="0.3">
      <c r="A156" s="50" t="s">
        <v>981</v>
      </c>
      <c r="B156" s="47">
        <v>15</v>
      </c>
      <c r="C156" s="34" t="s">
        <v>340</v>
      </c>
      <c r="D156" s="47">
        <v>1</v>
      </c>
      <c r="E156" s="34" t="s">
        <v>9</v>
      </c>
      <c r="F156" s="56">
        <v>3.957939382716049E-2</v>
      </c>
      <c r="G156" s="56" t="s">
        <v>1030</v>
      </c>
      <c r="H156" s="56">
        <v>3.1663515061728396E-2</v>
      </c>
      <c r="I156" s="56">
        <v>3.957939382716049E-2</v>
      </c>
      <c r="J156" s="56">
        <v>4.7495272592592584E-2</v>
      </c>
      <c r="K156" s="56">
        <v>3.1663515061728396E-2</v>
      </c>
      <c r="L156" s="56">
        <v>4.7495272592592584E-2</v>
      </c>
      <c r="M156" s="56">
        <v>0</v>
      </c>
      <c r="N156" s="56">
        <v>1</v>
      </c>
      <c r="O156" s="47" t="s">
        <v>1031</v>
      </c>
      <c r="P156" s="34" t="s">
        <v>1197</v>
      </c>
      <c r="Q156" s="39" t="s">
        <v>1036</v>
      </c>
    </row>
    <row r="157" spans="1:17" ht="28.8" x14ac:dyDescent="0.3">
      <c r="A157" s="50" t="s">
        <v>981</v>
      </c>
      <c r="B157" s="47">
        <v>15</v>
      </c>
      <c r="C157" s="34" t="s">
        <v>340</v>
      </c>
      <c r="D157" s="47">
        <v>2</v>
      </c>
      <c r="E157" s="34" t="s">
        <v>341</v>
      </c>
      <c r="F157" s="56">
        <v>4.434845727272727E-3</v>
      </c>
      <c r="G157" s="56" t="s">
        <v>1030</v>
      </c>
      <c r="H157" s="56">
        <v>3.5478765818181819E-3</v>
      </c>
      <c r="I157" s="56">
        <v>4.434845727272727E-3</v>
      </c>
      <c r="J157" s="56">
        <v>5.3218148727272726E-3</v>
      </c>
      <c r="K157" s="56">
        <v>3.5478765818181819E-3</v>
      </c>
      <c r="L157" s="56">
        <v>5.3218148727272726E-3</v>
      </c>
      <c r="M157" s="56">
        <v>0</v>
      </c>
      <c r="N157" s="56">
        <v>1</v>
      </c>
      <c r="O157" s="47" t="s">
        <v>1034</v>
      </c>
      <c r="P157" s="34" t="s">
        <v>1198</v>
      </c>
      <c r="Q157" s="39" t="s">
        <v>1036</v>
      </c>
    </row>
    <row r="158" spans="1:17" ht="28.8" x14ac:dyDescent="0.3">
      <c r="A158" s="50" t="s">
        <v>981</v>
      </c>
      <c r="B158" s="47">
        <v>15</v>
      </c>
      <c r="C158" s="34" t="s">
        <v>340</v>
      </c>
      <c r="D158" s="47">
        <v>3</v>
      </c>
      <c r="E158" s="34" t="s">
        <v>392</v>
      </c>
      <c r="F158" s="56">
        <v>5.4206561111111121E-2</v>
      </c>
      <c r="G158" s="56" t="s">
        <v>1030</v>
      </c>
      <c r="H158" s="56">
        <v>4.3365248888888902E-2</v>
      </c>
      <c r="I158" s="56">
        <v>5.4206561111111121E-2</v>
      </c>
      <c r="J158" s="56">
        <v>6.5047873333333339E-2</v>
      </c>
      <c r="K158" s="56">
        <v>4.3365248888888902E-2</v>
      </c>
      <c r="L158" s="56">
        <v>6.5047873333333339E-2</v>
      </c>
      <c r="M158" s="56">
        <v>0</v>
      </c>
      <c r="N158" s="56">
        <v>1</v>
      </c>
      <c r="O158" s="47" t="s">
        <v>1037</v>
      </c>
      <c r="P158" s="34" t="s">
        <v>1199</v>
      </c>
      <c r="Q158" s="39" t="s">
        <v>1036</v>
      </c>
    </row>
    <row r="159" spans="1:17" ht="28.8" x14ac:dyDescent="0.3">
      <c r="A159" s="50" t="s">
        <v>981</v>
      </c>
      <c r="B159" s="47">
        <v>15</v>
      </c>
      <c r="C159" s="34" t="s">
        <v>340</v>
      </c>
      <c r="D159" s="47">
        <v>4</v>
      </c>
      <c r="E159" s="34" t="s">
        <v>455</v>
      </c>
      <c r="F159" s="56">
        <v>6.713869783333333E-2</v>
      </c>
      <c r="G159" s="56" t="s">
        <v>1030</v>
      </c>
      <c r="H159" s="56">
        <v>5.3710958266666664E-2</v>
      </c>
      <c r="I159" s="56">
        <v>6.713869783333333E-2</v>
      </c>
      <c r="J159" s="56">
        <v>8.0566437399999996E-2</v>
      </c>
      <c r="K159" s="56">
        <v>5.3710958266666664E-2</v>
      </c>
      <c r="L159" s="56">
        <v>8.0566437399999996E-2</v>
      </c>
      <c r="M159" s="56">
        <v>0</v>
      </c>
      <c r="N159" s="56">
        <v>1</v>
      </c>
      <c r="O159" s="47" t="s">
        <v>1039</v>
      </c>
      <c r="P159" s="34" t="s">
        <v>1200</v>
      </c>
      <c r="Q159" s="39" t="s">
        <v>1036</v>
      </c>
    </row>
    <row r="160" spans="1:17" ht="28.8" x14ac:dyDescent="0.3">
      <c r="A160" s="50" t="s">
        <v>981</v>
      </c>
      <c r="B160" s="47">
        <v>15</v>
      </c>
      <c r="C160" s="34" t="s">
        <v>340</v>
      </c>
      <c r="D160" s="47">
        <v>5</v>
      </c>
      <c r="E160" s="34" t="s">
        <v>458</v>
      </c>
      <c r="F160" s="56">
        <v>1.7256574162694445E-2</v>
      </c>
      <c r="G160" s="56" t="s">
        <v>1030</v>
      </c>
      <c r="H160" s="56">
        <v>1.3805259330155556E-2</v>
      </c>
      <c r="I160" s="56">
        <v>1.7256574162694445E-2</v>
      </c>
      <c r="J160" s="56">
        <v>2.0707888995233334E-2</v>
      </c>
      <c r="K160" s="56">
        <v>1.3805259330155556E-2</v>
      </c>
      <c r="L160" s="56">
        <v>2.0707888995233334E-2</v>
      </c>
      <c r="M160" s="56">
        <v>0</v>
      </c>
      <c r="N160" s="56">
        <v>1</v>
      </c>
      <c r="O160" s="47" t="s">
        <v>1041</v>
      </c>
      <c r="P160" s="34" t="s">
        <v>1201</v>
      </c>
      <c r="Q160" s="39" t="s">
        <v>1036</v>
      </c>
    </row>
    <row r="161" spans="1:17" ht="28.8" x14ac:dyDescent="0.3">
      <c r="A161" s="50" t="s">
        <v>981</v>
      </c>
      <c r="B161" s="47">
        <v>15</v>
      </c>
      <c r="C161" s="34" t="s">
        <v>340</v>
      </c>
      <c r="D161" s="47">
        <v>6</v>
      </c>
      <c r="E161" s="34" t="s">
        <v>459</v>
      </c>
      <c r="F161" s="56">
        <v>0.124</v>
      </c>
      <c r="G161" s="56" t="s">
        <v>1030</v>
      </c>
      <c r="H161" s="56">
        <v>9.920000000000001E-2</v>
      </c>
      <c r="I161" s="56">
        <v>0.124</v>
      </c>
      <c r="J161" s="56">
        <v>0.14879999999999999</v>
      </c>
      <c r="K161" s="56">
        <v>9.920000000000001E-2</v>
      </c>
      <c r="L161" s="56">
        <v>0.14879999999999999</v>
      </c>
      <c r="M161" s="56">
        <v>0</v>
      </c>
      <c r="N161" s="56">
        <v>1</v>
      </c>
      <c r="O161" s="47" t="s">
        <v>1043</v>
      </c>
      <c r="P161" s="34" t="s">
        <v>1202</v>
      </c>
      <c r="Q161" s="39" t="s">
        <v>1036</v>
      </c>
    </row>
    <row r="162" spans="1:17" ht="28.8" x14ac:dyDescent="0.3">
      <c r="A162" s="50" t="s">
        <v>981</v>
      </c>
      <c r="B162" s="47">
        <v>15</v>
      </c>
      <c r="C162" s="34" t="s">
        <v>340</v>
      </c>
      <c r="D162" s="47">
        <v>7</v>
      </c>
      <c r="E162" s="34" t="s">
        <v>562</v>
      </c>
      <c r="F162" s="56">
        <v>1.831407386111111E-2</v>
      </c>
      <c r="G162" s="56" t="s">
        <v>1030</v>
      </c>
      <c r="H162" s="56">
        <v>1.4651259088888889E-2</v>
      </c>
      <c r="I162" s="56">
        <v>1.831407386111111E-2</v>
      </c>
      <c r="J162" s="56">
        <v>2.197688863333333E-2</v>
      </c>
      <c r="K162" s="56">
        <v>1.4651259088888889E-2</v>
      </c>
      <c r="L162" s="56">
        <v>2.197688863333333E-2</v>
      </c>
      <c r="M162" s="56">
        <v>0</v>
      </c>
      <c r="N162" s="56">
        <v>1</v>
      </c>
      <c r="O162" s="47" t="s">
        <v>1045</v>
      </c>
      <c r="P162" s="34" t="s">
        <v>1203</v>
      </c>
      <c r="Q162" s="39" t="s">
        <v>1036</v>
      </c>
    </row>
    <row r="163" spans="1:17" ht="28.8" x14ac:dyDescent="0.3">
      <c r="A163" s="50" t="s">
        <v>981</v>
      </c>
      <c r="B163" s="47">
        <v>15</v>
      </c>
      <c r="C163" s="34" t="s">
        <v>340</v>
      </c>
      <c r="D163" s="47">
        <v>8</v>
      </c>
      <c r="E163" s="34" t="s">
        <v>567</v>
      </c>
      <c r="F163" s="56">
        <v>4.0347750320370371E-2</v>
      </c>
      <c r="G163" s="56" t="s">
        <v>1030</v>
      </c>
      <c r="H163" s="56">
        <v>3.2278200256296297E-2</v>
      </c>
      <c r="I163" s="56">
        <v>4.0347750320370371E-2</v>
      </c>
      <c r="J163" s="56">
        <v>4.8417300384444445E-2</v>
      </c>
      <c r="K163" s="56">
        <v>3.2278200256296297E-2</v>
      </c>
      <c r="L163" s="56">
        <v>4.8417300384444445E-2</v>
      </c>
      <c r="M163" s="56">
        <v>0</v>
      </c>
      <c r="N163" s="56">
        <v>1</v>
      </c>
      <c r="O163" s="47" t="s">
        <v>1047</v>
      </c>
      <c r="P163" s="34" t="s">
        <v>1204</v>
      </c>
      <c r="Q163" s="39" t="s">
        <v>1036</v>
      </c>
    </row>
    <row r="164" spans="1:17" x14ac:dyDescent="0.3">
      <c r="A164" s="50" t="s">
        <v>1000</v>
      </c>
      <c r="B164" s="47">
        <v>15</v>
      </c>
      <c r="C164" s="34" t="s">
        <v>340</v>
      </c>
      <c r="D164" s="47">
        <v>9</v>
      </c>
      <c r="E164" s="34" t="s">
        <v>636</v>
      </c>
      <c r="F164" s="56">
        <v>0</v>
      </c>
      <c r="G164" s="56" t="s">
        <v>1067</v>
      </c>
      <c r="H164" s="56">
        <v>0</v>
      </c>
      <c r="I164" s="56">
        <v>0</v>
      </c>
      <c r="J164" s="56">
        <v>0</v>
      </c>
      <c r="K164" s="56">
        <v>0</v>
      </c>
      <c r="L164" s="56">
        <v>0</v>
      </c>
      <c r="M164" s="56">
        <v>0</v>
      </c>
      <c r="N164" s="56">
        <v>1</v>
      </c>
      <c r="O164" s="47" t="s">
        <v>1049</v>
      </c>
      <c r="P164" s="34" t="s">
        <v>1068</v>
      </c>
      <c r="Q164" s="39" t="s">
        <v>1069</v>
      </c>
    </row>
    <row r="165" spans="1:17" ht="28.8" x14ac:dyDescent="0.3">
      <c r="A165" s="50" t="s">
        <v>981</v>
      </c>
      <c r="B165" s="47">
        <v>15</v>
      </c>
      <c r="C165" s="34" t="s">
        <v>340</v>
      </c>
      <c r="D165" s="47">
        <v>10</v>
      </c>
      <c r="E165" s="34" t="s">
        <v>838</v>
      </c>
      <c r="F165" s="56">
        <v>7.4540044479012343E-2</v>
      </c>
      <c r="G165" s="56" t="s">
        <v>1030</v>
      </c>
      <c r="H165" s="56">
        <v>5.9632035583209876E-2</v>
      </c>
      <c r="I165" s="56">
        <v>7.4540044479012343E-2</v>
      </c>
      <c r="J165" s="56">
        <v>8.9448053374814804E-2</v>
      </c>
      <c r="K165" s="56">
        <v>5.9632035583209876E-2</v>
      </c>
      <c r="L165" s="56">
        <v>8.9448053374814804E-2</v>
      </c>
      <c r="M165" s="56">
        <v>0</v>
      </c>
      <c r="N165" s="56">
        <v>1</v>
      </c>
      <c r="O165" s="47" t="s">
        <v>1051</v>
      </c>
      <c r="P165" s="34" t="s">
        <v>1205</v>
      </c>
      <c r="Q165" s="39" t="s">
        <v>1036</v>
      </c>
    </row>
    <row r="166" spans="1:17" ht="28.8" x14ac:dyDescent="0.3">
      <c r="A166" s="50" t="s">
        <v>981</v>
      </c>
      <c r="B166" s="47">
        <v>15</v>
      </c>
      <c r="C166" s="34" t="s">
        <v>340</v>
      </c>
      <c r="D166" s="47">
        <v>11</v>
      </c>
      <c r="E166" s="34" t="s">
        <v>843</v>
      </c>
      <c r="F166" s="56">
        <v>2.9633276342975207E-3</v>
      </c>
      <c r="G166" s="56" t="s">
        <v>1030</v>
      </c>
      <c r="H166" s="56">
        <v>2.3706621074380168E-3</v>
      </c>
      <c r="I166" s="56">
        <v>2.9633276342975207E-3</v>
      </c>
      <c r="J166" s="56">
        <v>3.5559931611570247E-3</v>
      </c>
      <c r="K166" s="56">
        <v>2.3706621074380168E-3</v>
      </c>
      <c r="L166" s="56">
        <v>3.5559931611570247E-3</v>
      </c>
      <c r="M166" s="56">
        <v>0</v>
      </c>
      <c r="N166" s="56">
        <v>1</v>
      </c>
      <c r="O166" s="47" t="s">
        <v>1053</v>
      </c>
      <c r="P166" s="34" t="s">
        <v>1206</v>
      </c>
      <c r="Q166" s="39" t="s">
        <v>1036</v>
      </c>
    </row>
    <row r="167" spans="1:17" ht="28.8" x14ac:dyDescent="0.3">
      <c r="A167" s="50" t="s">
        <v>981</v>
      </c>
      <c r="B167" s="47">
        <v>16</v>
      </c>
      <c r="C167" s="34" t="s">
        <v>79</v>
      </c>
      <c r="D167" s="47">
        <v>1</v>
      </c>
      <c r="E167" s="34" t="s">
        <v>9</v>
      </c>
      <c r="F167" s="56">
        <v>2.0514000000000001E-2</v>
      </c>
      <c r="G167" s="56" t="s">
        <v>1030</v>
      </c>
      <c r="H167" s="56">
        <v>1.6411200000000001E-2</v>
      </c>
      <c r="I167" s="56">
        <v>2.0514000000000001E-2</v>
      </c>
      <c r="J167" s="56">
        <v>2.4616800000000001E-2</v>
      </c>
      <c r="K167" s="56">
        <v>1.6411200000000001E-2</v>
      </c>
      <c r="L167" s="56">
        <v>2.4616800000000001E-2</v>
      </c>
      <c r="M167" s="56">
        <v>0</v>
      </c>
      <c r="N167" s="56">
        <v>1</v>
      </c>
      <c r="O167" s="47" t="s">
        <v>1031</v>
      </c>
      <c r="P167" s="34" t="s">
        <v>1207</v>
      </c>
      <c r="Q167" s="39" t="s">
        <v>1036</v>
      </c>
    </row>
    <row r="168" spans="1:17" ht="28.8" x14ac:dyDescent="0.3">
      <c r="A168" s="50" t="s">
        <v>981</v>
      </c>
      <c r="B168" s="47">
        <v>16</v>
      </c>
      <c r="C168" s="34" t="s">
        <v>79</v>
      </c>
      <c r="D168" s="47">
        <v>2</v>
      </c>
      <c r="E168" s="34" t="s">
        <v>341</v>
      </c>
      <c r="F168" s="56">
        <v>1.3816799999999999E-3</v>
      </c>
      <c r="G168" s="56" t="s">
        <v>1030</v>
      </c>
      <c r="H168" s="56">
        <v>1.1053440000000001E-3</v>
      </c>
      <c r="I168" s="56">
        <v>1.3816799999999999E-3</v>
      </c>
      <c r="J168" s="56">
        <v>1.6580159999999998E-3</v>
      </c>
      <c r="K168" s="56">
        <v>1.1053440000000001E-3</v>
      </c>
      <c r="L168" s="56">
        <v>1.6580159999999998E-3</v>
      </c>
      <c r="M168" s="56">
        <v>0</v>
      </c>
      <c r="N168" s="56">
        <v>1</v>
      </c>
      <c r="O168" s="47" t="s">
        <v>1034</v>
      </c>
      <c r="P168" s="34" t="s">
        <v>1208</v>
      </c>
      <c r="Q168" s="39" t="s">
        <v>1036</v>
      </c>
    </row>
    <row r="169" spans="1:17" ht="28.8" x14ac:dyDescent="0.3">
      <c r="A169" s="50" t="s">
        <v>981</v>
      </c>
      <c r="B169" s="47">
        <v>16</v>
      </c>
      <c r="C169" s="34" t="s">
        <v>79</v>
      </c>
      <c r="D169" s="47">
        <v>3</v>
      </c>
      <c r="E169" s="34" t="s">
        <v>392</v>
      </c>
      <c r="F169" s="56">
        <v>6.0200000000000002E-3</v>
      </c>
      <c r="G169" s="56" t="s">
        <v>1030</v>
      </c>
      <c r="H169" s="56">
        <v>4.8160000000000008E-3</v>
      </c>
      <c r="I169" s="56">
        <v>6.0200000000000002E-3</v>
      </c>
      <c r="J169" s="56">
        <v>7.2239999999999995E-3</v>
      </c>
      <c r="K169" s="56">
        <v>4.8160000000000008E-3</v>
      </c>
      <c r="L169" s="56">
        <v>7.2239999999999995E-3</v>
      </c>
      <c r="M169" s="56">
        <v>0</v>
      </c>
      <c r="N169" s="56">
        <v>1</v>
      </c>
      <c r="O169" s="47" t="s">
        <v>1037</v>
      </c>
      <c r="P169" s="34" t="s">
        <v>1209</v>
      </c>
      <c r="Q169" s="39" t="s">
        <v>1036</v>
      </c>
    </row>
    <row r="170" spans="1:17" ht="28.8" x14ac:dyDescent="0.3">
      <c r="A170" s="50" t="s">
        <v>981</v>
      </c>
      <c r="B170" s="47">
        <v>16</v>
      </c>
      <c r="C170" s="34" t="s">
        <v>79</v>
      </c>
      <c r="D170" s="47">
        <v>4</v>
      </c>
      <c r="E170" s="34" t="s">
        <v>455</v>
      </c>
      <c r="F170" s="56">
        <v>1.3741949999999999E-2</v>
      </c>
      <c r="G170" s="56" t="s">
        <v>1030</v>
      </c>
      <c r="H170" s="56">
        <v>1.0993559999999999E-2</v>
      </c>
      <c r="I170" s="56">
        <v>1.3741949999999999E-2</v>
      </c>
      <c r="J170" s="56">
        <v>1.6490339999999999E-2</v>
      </c>
      <c r="K170" s="56">
        <v>1.0993559999999999E-2</v>
      </c>
      <c r="L170" s="56">
        <v>1.6490339999999999E-2</v>
      </c>
      <c r="M170" s="56">
        <v>0</v>
      </c>
      <c r="N170" s="56">
        <v>1</v>
      </c>
      <c r="O170" s="47" t="s">
        <v>1039</v>
      </c>
      <c r="P170" s="34" t="s">
        <v>1210</v>
      </c>
      <c r="Q170" s="39" t="s">
        <v>1036</v>
      </c>
    </row>
    <row r="171" spans="1:17" ht="28.8" x14ac:dyDescent="0.3">
      <c r="A171" s="50" t="s">
        <v>981</v>
      </c>
      <c r="B171" s="47">
        <v>16</v>
      </c>
      <c r="C171" s="34" t="s">
        <v>79</v>
      </c>
      <c r="D171" s="47">
        <v>5</v>
      </c>
      <c r="E171" s="34" t="s">
        <v>458</v>
      </c>
      <c r="F171" s="56">
        <v>1.2409999999999999E-3</v>
      </c>
      <c r="G171" s="56" t="s">
        <v>1030</v>
      </c>
      <c r="H171" s="56">
        <v>9.9280000000000006E-4</v>
      </c>
      <c r="I171" s="56">
        <v>1.2409999999999999E-3</v>
      </c>
      <c r="J171" s="56">
        <v>1.4891999999999998E-3</v>
      </c>
      <c r="K171" s="56">
        <v>9.9280000000000006E-4</v>
      </c>
      <c r="L171" s="56">
        <v>1.4891999999999998E-3</v>
      </c>
      <c r="M171" s="56">
        <v>0</v>
      </c>
      <c r="N171" s="56">
        <v>1</v>
      </c>
      <c r="O171" s="47" t="s">
        <v>1041</v>
      </c>
      <c r="P171" s="34" t="s">
        <v>1211</v>
      </c>
      <c r="Q171" s="39" t="s">
        <v>1036</v>
      </c>
    </row>
    <row r="172" spans="1:17" ht="28.8" x14ac:dyDescent="0.3">
      <c r="A172" s="50" t="s">
        <v>981</v>
      </c>
      <c r="B172" s="47">
        <v>16</v>
      </c>
      <c r="C172" s="34" t="s">
        <v>79</v>
      </c>
      <c r="D172" s="47">
        <v>6</v>
      </c>
      <c r="E172" s="34" t="s">
        <v>459</v>
      </c>
      <c r="F172" s="56">
        <v>1.0923257477132223E-2</v>
      </c>
      <c r="G172" s="56" t="s">
        <v>1030</v>
      </c>
      <c r="H172" s="56">
        <v>8.7386059817057792E-3</v>
      </c>
      <c r="I172" s="56">
        <v>1.0923257477132223E-2</v>
      </c>
      <c r="J172" s="56">
        <v>1.3107908972558667E-2</v>
      </c>
      <c r="K172" s="56">
        <v>8.7386059817057792E-3</v>
      </c>
      <c r="L172" s="56">
        <v>1.3107908972558667E-2</v>
      </c>
      <c r="M172" s="56">
        <v>0</v>
      </c>
      <c r="N172" s="56">
        <v>1</v>
      </c>
      <c r="O172" s="47" t="s">
        <v>1043</v>
      </c>
      <c r="P172" s="34" t="s">
        <v>1212</v>
      </c>
      <c r="Q172" s="39" t="s">
        <v>1036</v>
      </c>
    </row>
    <row r="173" spans="1:17" ht="28.8" x14ac:dyDescent="0.3">
      <c r="A173" s="50" t="s">
        <v>981</v>
      </c>
      <c r="B173" s="47">
        <v>16</v>
      </c>
      <c r="C173" s="34" t="s">
        <v>79</v>
      </c>
      <c r="D173" s="47">
        <v>7</v>
      </c>
      <c r="E173" s="34" t="s">
        <v>562</v>
      </c>
      <c r="F173" s="56">
        <v>1.734949782339181E-3</v>
      </c>
      <c r="G173" s="56" t="s">
        <v>1030</v>
      </c>
      <c r="H173" s="56">
        <v>1.3879598258713449E-3</v>
      </c>
      <c r="I173" s="56">
        <v>1.734949782339181E-3</v>
      </c>
      <c r="J173" s="56">
        <v>2.081939738807017E-3</v>
      </c>
      <c r="K173" s="56">
        <v>1.3879598258713449E-3</v>
      </c>
      <c r="L173" s="56">
        <v>2.081939738807017E-3</v>
      </c>
      <c r="M173" s="56">
        <v>0</v>
      </c>
      <c r="N173" s="56">
        <v>1</v>
      </c>
      <c r="O173" s="47" t="s">
        <v>1045</v>
      </c>
      <c r="P173" s="34" t="s">
        <v>1213</v>
      </c>
      <c r="Q173" s="39" t="s">
        <v>1036</v>
      </c>
    </row>
    <row r="174" spans="1:17" ht="28.8" x14ac:dyDescent="0.3">
      <c r="A174" s="50" t="s">
        <v>981</v>
      </c>
      <c r="B174" s="47">
        <v>16</v>
      </c>
      <c r="C174" s="34" t="s">
        <v>79</v>
      </c>
      <c r="D174" s="47">
        <v>8</v>
      </c>
      <c r="E174" s="34" t="s">
        <v>567</v>
      </c>
      <c r="F174" s="56">
        <v>8.292392425306043E-3</v>
      </c>
      <c r="G174" s="56" t="s">
        <v>1030</v>
      </c>
      <c r="H174" s="56">
        <v>6.6339139402448351E-3</v>
      </c>
      <c r="I174" s="56">
        <v>8.292392425306043E-3</v>
      </c>
      <c r="J174" s="56">
        <v>9.9508709103672509E-3</v>
      </c>
      <c r="K174" s="56">
        <v>6.6339139402448351E-3</v>
      </c>
      <c r="L174" s="56">
        <v>9.9508709103672509E-3</v>
      </c>
      <c r="M174" s="56">
        <v>0</v>
      </c>
      <c r="N174" s="56">
        <v>1</v>
      </c>
      <c r="O174" s="47" t="s">
        <v>1047</v>
      </c>
      <c r="P174" s="34" t="s">
        <v>1214</v>
      </c>
      <c r="Q174" s="39" t="s">
        <v>1036</v>
      </c>
    </row>
    <row r="175" spans="1:17" ht="28.8" x14ac:dyDescent="0.3">
      <c r="A175" s="50" t="s">
        <v>981</v>
      </c>
      <c r="B175" s="47">
        <v>16</v>
      </c>
      <c r="C175" s="34" t="s">
        <v>79</v>
      </c>
      <c r="D175" s="47">
        <v>9</v>
      </c>
      <c r="E175" s="34" t="s">
        <v>636</v>
      </c>
      <c r="F175" s="56">
        <v>4.2647949473684221E-2</v>
      </c>
      <c r="G175" s="56" t="s">
        <v>1030</v>
      </c>
      <c r="H175" s="56">
        <v>3.4118359578947377E-2</v>
      </c>
      <c r="I175" s="56">
        <v>4.2647949473684221E-2</v>
      </c>
      <c r="J175" s="56">
        <v>5.1177539368421066E-2</v>
      </c>
      <c r="K175" s="56">
        <v>3.4118359578947377E-2</v>
      </c>
      <c r="L175" s="56">
        <v>5.1177539368421066E-2</v>
      </c>
      <c r="M175" s="56">
        <v>0</v>
      </c>
      <c r="N175" s="56">
        <v>1</v>
      </c>
      <c r="O175" s="47" t="s">
        <v>1049</v>
      </c>
      <c r="P175" s="34" t="s">
        <v>1215</v>
      </c>
      <c r="Q175" s="39" t="s">
        <v>1036</v>
      </c>
    </row>
    <row r="176" spans="1:17" ht="28.8" x14ac:dyDescent="0.3">
      <c r="A176" s="50" t="s">
        <v>981</v>
      </c>
      <c r="B176" s="47">
        <v>16</v>
      </c>
      <c r="C176" s="34" t="s">
        <v>79</v>
      </c>
      <c r="D176" s="47">
        <v>10</v>
      </c>
      <c r="E176" s="34" t="s">
        <v>838</v>
      </c>
      <c r="F176" s="56">
        <v>1.5319696769008448E-2</v>
      </c>
      <c r="G176" s="56" t="s">
        <v>1030</v>
      </c>
      <c r="H176" s="56">
        <v>1.2255757415206759E-2</v>
      </c>
      <c r="I176" s="56">
        <v>1.5319696769008448E-2</v>
      </c>
      <c r="J176" s="56">
        <v>1.8383636122810135E-2</v>
      </c>
      <c r="K176" s="56">
        <v>1.2255757415206759E-2</v>
      </c>
      <c r="L176" s="56">
        <v>1.8383636122810135E-2</v>
      </c>
      <c r="M176" s="56">
        <v>0</v>
      </c>
      <c r="N176" s="56">
        <v>1</v>
      </c>
      <c r="O176" s="47" t="s">
        <v>1051</v>
      </c>
      <c r="P176" s="34" t="s">
        <v>1216</v>
      </c>
      <c r="Q176" s="39" t="s">
        <v>1036</v>
      </c>
    </row>
    <row r="177" spans="1:17" ht="28.8" x14ac:dyDescent="0.3">
      <c r="A177" s="50" t="s">
        <v>981</v>
      </c>
      <c r="B177" s="47">
        <v>16</v>
      </c>
      <c r="C177" s="34" t="s">
        <v>79</v>
      </c>
      <c r="D177" s="47">
        <v>11</v>
      </c>
      <c r="E177" s="34" t="s">
        <v>843</v>
      </c>
      <c r="F177" s="56">
        <v>2.2250219008264463E-4</v>
      </c>
      <c r="G177" s="56" t="s">
        <v>1030</v>
      </c>
      <c r="H177" s="56">
        <v>1.7800175206611571E-4</v>
      </c>
      <c r="I177" s="56">
        <v>2.2250219008264463E-4</v>
      </c>
      <c r="J177" s="56">
        <v>2.6700262809917355E-4</v>
      </c>
      <c r="K177" s="56">
        <v>1.7800175206611571E-4</v>
      </c>
      <c r="L177" s="56">
        <v>2.6700262809917355E-4</v>
      </c>
      <c r="M177" s="56">
        <v>0</v>
      </c>
      <c r="N177" s="56">
        <v>1</v>
      </c>
      <c r="O177" s="47" t="s">
        <v>1053</v>
      </c>
      <c r="P177" s="34" t="s">
        <v>1217</v>
      </c>
      <c r="Q177" s="39" t="s">
        <v>1036</v>
      </c>
    </row>
    <row r="178" spans="1:17" ht="28.8" x14ac:dyDescent="0.3">
      <c r="A178" s="50" t="s">
        <v>981</v>
      </c>
      <c r="B178" s="47">
        <v>17</v>
      </c>
      <c r="C178" s="34" t="s">
        <v>83</v>
      </c>
      <c r="D178" s="47">
        <v>1</v>
      </c>
      <c r="E178" s="34" t="s">
        <v>9</v>
      </c>
      <c r="F178" s="56">
        <v>5.21E-2</v>
      </c>
      <c r="G178" s="56" t="s">
        <v>1030</v>
      </c>
      <c r="H178" s="56">
        <v>4.1680000000000002E-2</v>
      </c>
      <c r="I178" s="56">
        <v>5.21E-2</v>
      </c>
      <c r="J178" s="56">
        <v>6.2519999999999992E-2</v>
      </c>
      <c r="K178" s="56">
        <v>4.1680000000000002E-2</v>
      </c>
      <c r="L178" s="56">
        <v>6.2519999999999992E-2</v>
      </c>
      <c r="M178" s="56">
        <v>0</v>
      </c>
      <c r="N178" s="56">
        <v>1</v>
      </c>
      <c r="O178" s="47" t="s">
        <v>1031</v>
      </c>
      <c r="P178" s="34" t="s">
        <v>1218</v>
      </c>
      <c r="Q178" s="39" t="s">
        <v>1036</v>
      </c>
    </row>
    <row r="179" spans="1:17" ht="28.8" x14ac:dyDescent="0.3">
      <c r="A179" s="50" t="s">
        <v>981</v>
      </c>
      <c r="B179" s="47">
        <v>17</v>
      </c>
      <c r="C179" s="34" t="s">
        <v>83</v>
      </c>
      <c r="D179" s="47">
        <v>2</v>
      </c>
      <c r="E179" s="34" t="s">
        <v>341</v>
      </c>
      <c r="F179" s="56">
        <v>5.4903599999999997E-3</v>
      </c>
      <c r="G179" s="56" t="s">
        <v>1030</v>
      </c>
      <c r="H179" s="56">
        <v>4.3922880000000003E-3</v>
      </c>
      <c r="I179" s="56">
        <v>5.4903599999999997E-3</v>
      </c>
      <c r="J179" s="56">
        <v>6.5884319999999991E-3</v>
      </c>
      <c r="K179" s="56">
        <v>4.3922880000000003E-3</v>
      </c>
      <c r="L179" s="56">
        <v>6.5884319999999991E-3</v>
      </c>
      <c r="M179" s="56">
        <v>0</v>
      </c>
      <c r="N179" s="56">
        <v>1</v>
      </c>
      <c r="O179" s="47" t="s">
        <v>1034</v>
      </c>
      <c r="P179" s="34" t="s">
        <v>1219</v>
      </c>
      <c r="Q179" s="39" t="s">
        <v>1036</v>
      </c>
    </row>
    <row r="180" spans="1:17" ht="28.8" x14ac:dyDescent="0.3">
      <c r="A180" s="50" t="s">
        <v>981</v>
      </c>
      <c r="B180" s="47">
        <v>17</v>
      </c>
      <c r="C180" s="34" t="s">
        <v>83</v>
      </c>
      <c r="D180" s="47">
        <v>3</v>
      </c>
      <c r="E180" s="34" t="s">
        <v>392</v>
      </c>
      <c r="F180" s="56">
        <v>5.8450000000000004E-3</v>
      </c>
      <c r="G180" s="56" t="s">
        <v>1030</v>
      </c>
      <c r="H180" s="56">
        <v>4.6760000000000005E-3</v>
      </c>
      <c r="I180" s="56">
        <v>5.8450000000000004E-3</v>
      </c>
      <c r="J180" s="56">
        <v>7.0140000000000003E-3</v>
      </c>
      <c r="K180" s="56">
        <v>4.6760000000000005E-3</v>
      </c>
      <c r="L180" s="56">
        <v>7.0140000000000003E-3</v>
      </c>
      <c r="M180" s="56">
        <v>0</v>
      </c>
      <c r="N180" s="56">
        <v>1</v>
      </c>
      <c r="O180" s="47" t="s">
        <v>1037</v>
      </c>
      <c r="P180" s="34" t="s">
        <v>1220</v>
      </c>
      <c r="Q180" s="39" t="s">
        <v>1036</v>
      </c>
    </row>
    <row r="181" spans="1:17" ht="28.8" x14ac:dyDescent="0.3">
      <c r="A181" s="50" t="s">
        <v>981</v>
      </c>
      <c r="B181" s="47">
        <v>17</v>
      </c>
      <c r="C181" s="34" t="s">
        <v>83</v>
      </c>
      <c r="D181" s="47">
        <v>4</v>
      </c>
      <c r="E181" s="34" t="s">
        <v>455</v>
      </c>
      <c r="F181" s="56">
        <v>3.411645E-2</v>
      </c>
      <c r="G181" s="56" t="s">
        <v>1030</v>
      </c>
      <c r="H181" s="56">
        <v>2.729316E-2</v>
      </c>
      <c r="I181" s="56">
        <v>3.411645E-2</v>
      </c>
      <c r="J181" s="56">
        <v>4.0939739999999995E-2</v>
      </c>
      <c r="K181" s="56">
        <v>2.729316E-2</v>
      </c>
      <c r="L181" s="56">
        <v>4.0939739999999995E-2</v>
      </c>
      <c r="M181" s="56">
        <v>0</v>
      </c>
      <c r="N181" s="56">
        <v>1</v>
      </c>
      <c r="O181" s="47" t="s">
        <v>1039</v>
      </c>
      <c r="P181" s="34" t="s">
        <v>1221</v>
      </c>
      <c r="Q181" s="39" t="s">
        <v>1036</v>
      </c>
    </row>
    <row r="182" spans="1:17" ht="28.8" x14ac:dyDescent="0.3">
      <c r="A182" s="50" t="s">
        <v>981</v>
      </c>
      <c r="B182" s="47">
        <v>17</v>
      </c>
      <c r="C182" s="34" t="s">
        <v>83</v>
      </c>
      <c r="D182" s="47">
        <v>5</v>
      </c>
      <c r="E182" s="34" t="s">
        <v>458</v>
      </c>
      <c r="F182" s="56">
        <v>5.2785000000000002E-3</v>
      </c>
      <c r="G182" s="56" t="s">
        <v>1030</v>
      </c>
      <c r="H182" s="56">
        <v>4.2228000000000005E-3</v>
      </c>
      <c r="I182" s="56">
        <v>5.2785000000000002E-3</v>
      </c>
      <c r="J182" s="56">
        <v>6.3341999999999999E-3</v>
      </c>
      <c r="K182" s="56">
        <v>4.2228000000000005E-3</v>
      </c>
      <c r="L182" s="56">
        <v>6.3341999999999999E-3</v>
      </c>
      <c r="M182" s="56">
        <v>0</v>
      </c>
      <c r="N182" s="56">
        <v>1</v>
      </c>
      <c r="O182" s="47" t="s">
        <v>1041</v>
      </c>
      <c r="P182" s="34" t="s">
        <v>1222</v>
      </c>
      <c r="Q182" s="39" t="s">
        <v>1036</v>
      </c>
    </row>
    <row r="183" spans="1:17" ht="28.8" x14ac:dyDescent="0.3">
      <c r="A183" s="50" t="s">
        <v>981</v>
      </c>
      <c r="B183" s="47">
        <v>17</v>
      </c>
      <c r="C183" s="34" t="s">
        <v>83</v>
      </c>
      <c r="D183" s="47">
        <v>6</v>
      </c>
      <c r="E183" s="34" t="s">
        <v>459</v>
      </c>
      <c r="F183" s="56">
        <v>3.1300813988095234E-2</v>
      </c>
      <c r="G183" s="56" t="s">
        <v>1030</v>
      </c>
      <c r="H183" s="56">
        <v>2.5040651190476187E-2</v>
      </c>
      <c r="I183" s="56">
        <v>3.1300813988095234E-2</v>
      </c>
      <c r="J183" s="56">
        <v>3.7560976785714281E-2</v>
      </c>
      <c r="K183" s="56">
        <v>2.5040651190476187E-2</v>
      </c>
      <c r="L183" s="56">
        <v>3.7560976785714281E-2</v>
      </c>
      <c r="M183" s="56">
        <v>0</v>
      </c>
      <c r="N183" s="56">
        <v>1</v>
      </c>
      <c r="O183" s="47" t="s">
        <v>1043</v>
      </c>
      <c r="P183" s="34" t="s">
        <v>1223</v>
      </c>
      <c r="Q183" s="39" t="s">
        <v>1036</v>
      </c>
    </row>
    <row r="184" spans="1:17" ht="28.8" x14ac:dyDescent="0.3">
      <c r="A184" s="50" t="s">
        <v>981</v>
      </c>
      <c r="B184" s="47">
        <v>17</v>
      </c>
      <c r="C184" s="34" t="s">
        <v>83</v>
      </c>
      <c r="D184" s="47">
        <v>7</v>
      </c>
      <c r="E184" s="34" t="s">
        <v>562</v>
      </c>
      <c r="F184" s="56">
        <v>7.3423395833333328E-3</v>
      </c>
      <c r="G184" s="56" t="s">
        <v>1030</v>
      </c>
      <c r="H184" s="56">
        <v>5.8738716666666664E-3</v>
      </c>
      <c r="I184" s="56">
        <v>7.3423395833333328E-3</v>
      </c>
      <c r="J184" s="56">
        <v>8.8108074999999984E-3</v>
      </c>
      <c r="K184" s="56">
        <v>5.8738716666666664E-3</v>
      </c>
      <c r="L184" s="56">
        <v>8.8108074999999984E-3</v>
      </c>
      <c r="M184" s="56">
        <v>0</v>
      </c>
      <c r="N184" s="56">
        <v>1</v>
      </c>
      <c r="O184" s="47" t="s">
        <v>1045</v>
      </c>
      <c r="P184" s="34" t="s">
        <v>1224</v>
      </c>
      <c r="Q184" s="39" t="s">
        <v>1036</v>
      </c>
    </row>
    <row r="185" spans="1:17" ht="28.8" x14ac:dyDescent="0.3">
      <c r="A185" s="50" t="s">
        <v>981</v>
      </c>
      <c r="B185" s="47">
        <v>17</v>
      </c>
      <c r="C185" s="34" t="s">
        <v>83</v>
      </c>
      <c r="D185" s="47">
        <v>8</v>
      </c>
      <c r="E185" s="34" t="s">
        <v>567</v>
      </c>
      <c r="F185" s="56">
        <v>2.0513516527777779E-2</v>
      </c>
      <c r="G185" s="56" t="s">
        <v>1030</v>
      </c>
      <c r="H185" s="56">
        <v>1.6410813222222223E-2</v>
      </c>
      <c r="I185" s="56">
        <v>2.0513516527777779E-2</v>
      </c>
      <c r="J185" s="56">
        <v>2.4616219833333335E-2</v>
      </c>
      <c r="K185" s="56">
        <v>1.6410813222222223E-2</v>
      </c>
      <c r="L185" s="56">
        <v>2.4616219833333335E-2</v>
      </c>
      <c r="M185" s="56">
        <v>0</v>
      </c>
      <c r="N185" s="56">
        <v>1</v>
      </c>
      <c r="O185" s="47" t="s">
        <v>1047</v>
      </c>
      <c r="P185" s="34" t="s">
        <v>1225</v>
      </c>
      <c r="Q185" s="39" t="s">
        <v>1036</v>
      </c>
    </row>
    <row r="186" spans="1:17" ht="43.2" x14ac:dyDescent="0.3">
      <c r="A186" s="50" t="s">
        <v>981</v>
      </c>
      <c r="B186" s="47">
        <v>17</v>
      </c>
      <c r="C186" s="34" t="s">
        <v>83</v>
      </c>
      <c r="D186" s="47">
        <v>9</v>
      </c>
      <c r="E186" s="34" t="s">
        <v>636</v>
      </c>
      <c r="F186" s="56">
        <v>1.44712E-2</v>
      </c>
      <c r="G186" s="56" t="s">
        <v>1030</v>
      </c>
      <c r="H186" s="56">
        <v>7.6821499999999987E-3</v>
      </c>
      <c r="I186" s="56">
        <v>1.44712E-2</v>
      </c>
      <c r="J186" s="56">
        <v>2.1260250000000001E-2</v>
      </c>
      <c r="K186" s="56">
        <v>1.1576960000000001E-2</v>
      </c>
      <c r="L186" s="56">
        <v>1.7365439999999999E-2</v>
      </c>
      <c r="M186" s="56">
        <v>0</v>
      </c>
      <c r="N186" s="56">
        <v>1</v>
      </c>
      <c r="O186" s="47" t="s">
        <v>1049</v>
      </c>
      <c r="P186" s="34" t="s">
        <v>1226</v>
      </c>
      <c r="Q186" s="39" t="s">
        <v>1033</v>
      </c>
    </row>
    <row r="187" spans="1:17" ht="28.8" x14ac:dyDescent="0.3">
      <c r="A187" s="50" t="s">
        <v>981</v>
      </c>
      <c r="B187" s="47">
        <v>17</v>
      </c>
      <c r="C187" s="34" t="s">
        <v>83</v>
      </c>
      <c r="D187" s="47">
        <v>10</v>
      </c>
      <c r="E187" s="34" t="s">
        <v>838</v>
      </c>
      <c r="F187" s="56">
        <v>3.7897489259259259E-2</v>
      </c>
      <c r="G187" s="56" t="s">
        <v>1030</v>
      </c>
      <c r="H187" s="56">
        <v>3.0317991407407409E-2</v>
      </c>
      <c r="I187" s="56">
        <v>3.7897489259259259E-2</v>
      </c>
      <c r="J187" s="56">
        <v>4.547698711111111E-2</v>
      </c>
      <c r="K187" s="56">
        <v>3.0317991407407409E-2</v>
      </c>
      <c r="L187" s="56">
        <v>4.547698711111111E-2</v>
      </c>
      <c r="M187" s="56">
        <v>0</v>
      </c>
      <c r="N187" s="56">
        <v>1</v>
      </c>
      <c r="O187" s="47" t="s">
        <v>1051</v>
      </c>
      <c r="P187" s="34" t="s">
        <v>1227</v>
      </c>
      <c r="Q187" s="39" t="s">
        <v>1036</v>
      </c>
    </row>
    <row r="188" spans="1:17" ht="28.8" x14ac:dyDescent="0.3">
      <c r="A188" s="50" t="s">
        <v>981</v>
      </c>
      <c r="B188" s="47">
        <v>17</v>
      </c>
      <c r="C188" s="34" t="s">
        <v>83</v>
      </c>
      <c r="D188" s="47">
        <v>11</v>
      </c>
      <c r="E188" s="34" t="s">
        <v>843</v>
      </c>
      <c r="F188" s="56">
        <v>3.6670951704545459E-3</v>
      </c>
      <c r="G188" s="56" t="s">
        <v>1030</v>
      </c>
      <c r="H188" s="56">
        <v>2.933676136363637E-3</v>
      </c>
      <c r="I188" s="56">
        <v>3.6670951704545459E-3</v>
      </c>
      <c r="J188" s="56">
        <v>4.4005142045454547E-3</v>
      </c>
      <c r="K188" s="56">
        <v>2.933676136363637E-3</v>
      </c>
      <c r="L188" s="56">
        <v>4.4005142045454547E-3</v>
      </c>
      <c r="M188" s="56">
        <v>0</v>
      </c>
      <c r="N188" s="56">
        <v>1</v>
      </c>
      <c r="O188" s="47" t="s">
        <v>1053</v>
      </c>
      <c r="P188" s="34" t="s">
        <v>1228</v>
      </c>
      <c r="Q188" s="39" t="s">
        <v>1036</v>
      </c>
    </row>
    <row r="189" spans="1:17" ht="43.2" x14ac:dyDescent="0.3">
      <c r="A189" s="50" t="s">
        <v>981</v>
      </c>
      <c r="B189" s="47">
        <v>18</v>
      </c>
      <c r="C189" s="34" t="s">
        <v>217</v>
      </c>
      <c r="D189" s="47">
        <v>1</v>
      </c>
      <c r="E189" s="34" t="s">
        <v>9</v>
      </c>
      <c r="F189" s="56">
        <v>5.9757173785318307E-2</v>
      </c>
      <c r="G189" s="56" t="s">
        <v>1030</v>
      </c>
      <c r="H189" s="56">
        <v>3.8694981361929844E-2</v>
      </c>
      <c r="I189" s="56">
        <v>5.9757173785318307E-2</v>
      </c>
      <c r="J189" s="56">
        <v>6.8000000000000005E-2</v>
      </c>
      <c r="K189" s="56">
        <v>4.7805739028254648E-2</v>
      </c>
      <c r="L189" s="56">
        <v>7.1708608542381966E-2</v>
      </c>
      <c r="M189" s="56">
        <v>0</v>
      </c>
      <c r="N189" s="56">
        <v>1</v>
      </c>
      <c r="O189" s="47" t="s">
        <v>1031</v>
      </c>
      <c r="P189" s="34" t="s">
        <v>1229</v>
      </c>
      <c r="Q189" s="39" t="s">
        <v>1033</v>
      </c>
    </row>
    <row r="190" spans="1:17" ht="28.8" x14ac:dyDescent="0.3">
      <c r="A190" s="50" t="s">
        <v>981</v>
      </c>
      <c r="B190" s="47">
        <v>18</v>
      </c>
      <c r="C190" s="34" t="s">
        <v>217</v>
      </c>
      <c r="D190" s="47">
        <v>2</v>
      </c>
      <c r="E190" s="34" t="s">
        <v>341</v>
      </c>
      <c r="F190" s="56">
        <v>1.0907999999999998E-4</v>
      </c>
      <c r="G190" s="56" t="s">
        <v>1030</v>
      </c>
      <c r="H190" s="56">
        <v>8.7263999999999983E-5</v>
      </c>
      <c r="I190" s="56">
        <v>1.0907999999999998E-4</v>
      </c>
      <c r="J190" s="56">
        <v>1.3089599999999997E-4</v>
      </c>
      <c r="K190" s="56">
        <v>8.7263999999999983E-5</v>
      </c>
      <c r="L190" s="56">
        <v>1.3089599999999997E-4</v>
      </c>
      <c r="M190" s="56">
        <v>0</v>
      </c>
      <c r="N190" s="56">
        <v>1</v>
      </c>
      <c r="O190" s="47" t="s">
        <v>1034</v>
      </c>
      <c r="P190" s="34" t="s">
        <v>1230</v>
      </c>
      <c r="Q190" s="39" t="s">
        <v>1036</v>
      </c>
    </row>
    <row r="191" spans="1:17" ht="28.8" x14ac:dyDescent="0.3">
      <c r="A191" s="50" t="s">
        <v>981</v>
      </c>
      <c r="B191" s="47">
        <v>18</v>
      </c>
      <c r="C191" s="34" t="s">
        <v>217</v>
      </c>
      <c r="D191" s="47">
        <v>3</v>
      </c>
      <c r="E191" s="34" t="s">
        <v>392</v>
      </c>
      <c r="F191" s="56">
        <v>4.8803588228070197E-2</v>
      </c>
      <c r="G191" s="56" t="s">
        <v>1030</v>
      </c>
      <c r="H191" s="56">
        <v>3.904287058245616E-2</v>
      </c>
      <c r="I191" s="56">
        <v>4.8803588228070197E-2</v>
      </c>
      <c r="J191" s="56">
        <v>5.8564305873684233E-2</v>
      </c>
      <c r="K191" s="56">
        <v>3.904287058245616E-2</v>
      </c>
      <c r="L191" s="56">
        <v>5.8564305873684233E-2</v>
      </c>
      <c r="M191" s="56">
        <v>0</v>
      </c>
      <c r="N191" s="56">
        <v>1</v>
      </c>
      <c r="O191" s="47" t="s">
        <v>1037</v>
      </c>
      <c r="P191" s="34" t="s">
        <v>1231</v>
      </c>
      <c r="Q191" s="39" t="s">
        <v>1036</v>
      </c>
    </row>
    <row r="192" spans="1:17" ht="28.8" x14ac:dyDescent="0.3">
      <c r="A192" s="50" t="s">
        <v>981</v>
      </c>
      <c r="B192" s="47">
        <v>18</v>
      </c>
      <c r="C192" s="34" t="s">
        <v>217</v>
      </c>
      <c r="D192" s="47">
        <v>4</v>
      </c>
      <c r="E192" s="34" t="s">
        <v>455</v>
      </c>
      <c r="F192" s="56">
        <v>6.0446729991052633E-2</v>
      </c>
      <c r="G192" s="56" t="s">
        <v>1030</v>
      </c>
      <c r="H192" s="56">
        <v>4.8357383992842111E-2</v>
      </c>
      <c r="I192" s="56">
        <v>6.0446729991052633E-2</v>
      </c>
      <c r="J192" s="56">
        <v>7.2536075989263163E-2</v>
      </c>
      <c r="K192" s="56">
        <v>4.8357383992842111E-2</v>
      </c>
      <c r="L192" s="56">
        <v>7.2536075989263163E-2</v>
      </c>
      <c r="M192" s="56">
        <v>0</v>
      </c>
      <c r="N192" s="56">
        <v>1</v>
      </c>
      <c r="O192" s="47" t="s">
        <v>1039</v>
      </c>
      <c r="P192" s="34" t="s">
        <v>1232</v>
      </c>
      <c r="Q192" s="39" t="s">
        <v>1036</v>
      </c>
    </row>
    <row r="193" spans="1:17" ht="28.8" x14ac:dyDescent="0.3">
      <c r="A193" s="50" t="s">
        <v>981</v>
      </c>
      <c r="B193" s="47">
        <v>18</v>
      </c>
      <c r="C193" s="34" t="s">
        <v>217</v>
      </c>
      <c r="D193" s="47">
        <v>5</v>
      </c>
      <c r="E193" s="34" t="s">
        <v>458</v>
      </c>
      <c r="F193" s="56">
        <v>3.7902736824561409E-3</v>
      </c>
      <c r="G193" s="56" t="s">
        <v>1030</v>
      </c>
      <c r="H193" s="56">
        <v>3.0322189459649129E-3</v>
      </c>
      <c r="I193" s="56">
        <v>3.7902736824561409E-3</v>
      </c>
      <c r="J193" s="56">
        <v>4.5483284189473689E-3</v>
      </c>
      <c r="K193" s="56">
        <v>3.0322189459649129E-3</v>
      </c>
      <c r="L193" s="56">
        <v>4.5483284189473689E-3</v>
      </c>
      <c r="M193" s="56">
        <v>0</v>
      </c>
      <c r="N193" s="56">
        <v>1</v>
      </c>
      <c r="O193" s="47" t="s">
        <v>1041</v>
      </c>
      <c r="P193" s="34" t="s">
        <v>1233</v>
      </c>
      <c r="Q193" s="39" t="s">
        <v>1036</v>
      </c>
    </row>
    <row r="194" spans="1:17" ht="28.8" x14ac:dyDescent="0.3">
      <c r="A194" s="50" t="s">
        <v>981</v>
      </c>
      <c r="B194" s="47">
        <v>18</v>
      </c>
      <c r="C194" s="34" t="s">
        <v>217</v>
      </c>
      <c r="D194" s="47">
        <v>6</v>
      </c>
      <c r="E194" s="34" t="s">
        <v>459</v>
      </c>
      <c r="F194" s="56">
        <v>4.6597618091854628E-2</v>
      </c>
      <c r="G194" s="56" t="s">
        <v>1030</v>
      </c>
      <c r="H194" s="56">
        <v>3.7278094473483701E-2</v>
      </c>
      <c r="I194" s="56">
        <v>4.6597618091854628E-2</v>
      </c>
      <c r="J194" s="56">
        <v>5.5917141710225556E-2</v>
      </c>
      <c r="K194" s="56">
        <v>3.7278094473483701E-2</v>
      </c>
      <c r="L194" s="56">
        <v>5.5917141710225556E-2</v>
      </c>
      <c r="M194" s="56">
        <v>0</v>
      </c>
      <c r="N194" s="56">
        <v>1</v>
      </c>
      <c r="O194" s="47" t="s">
        <v>1043</v>
      </c>
      <c r="P194" s="34" t="s">
        <v>1234</v>
      </c>
      <c r="Q194" s="39" t="s">
        <v>1036</v>
      </c>
    </row>
    <row r="195" spans="1:17" ht="28.8" x14ac:dyDescent="0.3">
      <c r="A195" s="50" t="s">
        <v>981</v>
      </c>
      <c r="B195" s="47">
        <v>18</v>
      </c>
      <c r="C195" s="34" t="s">
        <v>217</v>
      </c>
      <c r="D195" s="47">
        <v>7</v>
      </c>
      <c r="E195" s="34" t="s">
        <v>562</v>
      </c>
      <c r="F195" s="56">
        <v>5.2729395641228066E-3</v>
      </c>
      <c r="G195" s="56" t="s">
        <v>1030</v>
      </c>
      <c r="H195" s="56">
        <v>4.2183516512982458E-3</v>
      </c>
      <c r="I195" s="56">
        <v>5.2729395641228066E-3</v>
      </c>
      <c r="J195" s="56">
        <v>6.3275274769473673E-3</v>
      </c>
      <c r="K195" s="56">
        <v>4.2183516512982458E-3</v>
      </c>
      <c r="L195" s="56">
        <v>6.3275274769473673E-3</v>
      </c>
      <c r="M195" s="56">
        <v>0</v>
      </c>
      <c r="N195" s="56">
        <v>1</v>
      </c>
      <c r="O195" s="47" t="s">
        <v>1045</v>
      </c>
      <c r="P195" s="34" t="s">
        <v>1235</v>
      </c>
      <c r="Q195" s="39" t="s">
        <v>1036</v>
      </c>
    </row>
    <row r="196" spans="1:17" ht="28.8" x14ac:dyDescent="0.3">
      <c r="A196" s="50" t="s">
        <v>981</v>
      </c>
      <c r="B196" s="47">
        <v>18</v>
      </c>
      <c r="C196" s="34" t="s">
        <v>217</v>
      </c>
      <c r="D196" s="47">
        <v>8</v>
      </c>
      <c r="E196" s="34" t="s">
        <v>567</v>
      </c>
      <c r="F196" s="56">
        <v>3.6326137504426904E-2</v>
      </c>
      <c r="G196" s="56" t="s">
        <v>1030</v>
      </c>
      <c r="H196" s="56">
        <v>2.9060910003541524E-2</v>
      </c>
      <c r="I196" s="56">
        <v>3.6326137504426904E-2</v>
      </c>
      <c r="J196" s="56">
        <v>4.3591365005312285E-2</v>
      </c>
      <c r="K196" s="56">
        <v>2.9060910003541524E-2</v>
      </c>
      <c r="L196" s="56">
        <v>4.3591365005312285E-2</v>
      </c>
      <c r="M196" s="56">
        <v>0</v>
      </c>
      <c r="N196" s="56">
        <v>1</v>
      </c>
      <c r="O196" s="47" t="s">
        <v>1047</v>
      </c>
      <c r="P196" s="34" t="s">
        <v>1236</v>
      </c>
      <c r="Q196" s="39" t="s">
        <v>1036</v>
      </c>
    </row>
    <row r="197" spans="1:17" ht="43.2" x14ac:dyDescent="0.3">
      <c r="A197" s="50" t="s">
        <v>981</v>
      </c>
      <c r="B197" s="47">
        <v>18</v>
      </c>
      <c r="C197" s="34" t="s">
        <v>217</v>
      </c>
      <c r="D197" s="47">
        <v>9</v>
      </c>
      <c r="E197" s="34" t="s">
        <v>636</v>
      </c>
      <c r="F197" s="56">
        <v>6.1321013902463938E-2</v>
      </c>
      <c r="G197" s="56" t="s">
        <v>1030</v>
      </c>
      <c r="H197" s="56">
        <v>4.8200000000000007E-2</v>
      </c>
      <c r="I197" s="56">
        <v>6.1321013902463938E-2</v>
      </c>
      <c r="J197" s="56">
        <v>6.7890833725263153E-2</v>
      </c>
      <c r="K197" s="56">
        <v>4.9056811121971154E-2</v>
      </c>
      <c r="L197" s="56">
        <v>7.3585216682956728E-2</v>
      </c>
      <c r="M197" s="56">
        <v>0</v>
      </c>
      <c r="N197" s="56">
        <v>1</v>
      </c>
      <c r="O197" s="47" t="s">
        <v>1049</v>
      </c>
      <c r="P197" s="34" t="s">
        <v>1237</v>
      </c>
      <c r="Q197" s="39" t="s">
        <v>1033</v>
      </c>
    </row>
    <row r="198" spans="1:17" ht="28.8" x14ac:dyDescent="0.3">
      <c r="A198" s="50" t="s">
        <v>981</v>
      </c>
      <c r="B198" s="47">
        <v>18</v>
      </c>
      <c r="C198" s="34" t="s">
        <v>217</v>
      </c>
      <c r="D198" s="47">
        <v>10</v>
      </c>
      <c r="E198" s="34" t="s">
        <v>838</v>
      </c>
      <c r="F198" s="56">
        <v>6.7110356434510715E-2</v>
      </c>
      <c r="G198" s="56" t="s">
        <v>1030</v>
      </c>
      <c r="H198" s="56">
        <v>5.3688285147608573E-2</v>
      </c>
      <c r="I198" s="56">
        <v>6.7110356434510715E-2</v>
      </c>
      <c r="J198" s="56">
        <v>8.053242772141285E-2</v>
      </c>
      <c r="K198" s="56">
        <v>5.3688285147608573E-2</v>
      </c>
      <c r="L198" s="56">
        <v>8.053242772141285E-2</v>
      </c>
      <c r="M198" s="56">
        <v>0</v>
      </c>
      <c r="N198" s="56">
        <v>1</v>
      </c>
      <c r="O198" s="47" t="s">
        <v>1051</v>
      </c>
      <c r="P198" s="34" t="s">
        <v>1238</v>
      </c>
      <c r="Q198" s="39" t="s">
        <v>1036</v>
      </c>
    </row>
    <row r="199" spans="1:17" ht="28.8" x14ac:dyDescent="0.3">
      <c r="A199" s="50" t="s">
        <v>981</v>
      </c>
      <c r="B199" s="47">
        <v>18</v>
      </c>
      <c r="C199" s="34" t="s">
        <v>217</v>
      </c>
      <c r="D199" s="47">
        <v>11</v>
      </c>
      <c r="E199" s="34" t="s">
        <v>843</v>
      </c>
      <c r="F199" s="56">
        <v>6.1771193181818187E-5</v>
      </c>
      <c r="G199" s="56" t="s">
        <v>1030</v>
      </c>
      <c r="H199" s="56">
        <v>4.9416954545454549E-5</v>
      </c>
      <c r="I199" s="56">
        <v>6.1771193181818187E-5</v>
      </c>
      <c r="J199" s="56">
        <v>7.4125431818181824E-5</v>
      </c>
      <c r="K199" s="56">
        <v>4.9416954545454549E-5</v>
      </c>
      <c r="L199" s="56">
        <v>7.4125431818181824E-5</v>
      </c>
      <c r="M199" s="56">
        <v>0</v>
      </c>
      <c r="N199" s="56">
        <v>1</v>
      </c>
      <c r="O199" s="47" t="s">
        <v>1053</v>
      </c>
      <c r="P199" s="34" t="s">
        <v>1239</v>
      </c>
      <c r="Q199" s="39" t="s">
        <v>1036</v>
      </c>
    </row>
    <row r="200" spans="1:17" ht="43.2" x14ac:dyDescent="0.3">
      <c r="A200" s="50" t="s">
        <v>981</v>
      </c>
      <c r="B200" s="47">
        <v>19</v>
      </c>
      <c r="C200" s="34" t="s">
        <v>230</v>
      </c>
      <c r="D200" s="47">
        <v>1</v>
      </c>
      <c r="E200" s="34" t="s">
        <v>9</v>
      </c>
      <c r="F200" s="56">
        <v>0.26593833892525254</v>
      </c>
      <c r="G200" s="56" t="s">
        <v>1030</v>
      </c>
      <c r="H200" s="56">
        <v>0.17330000000000001</v>
      </c>
      <c r="I200" s="56">
        <v>0.26593833892525254</v>
      </c>
      <c r="J200" s="56">
        <v>0.42200244200000009</v>
      </c>
      <c r="K200" s="56">
        <v>0.21275067114020205</v>
      </c>
      <c r="L200" s="56">
        <v>0.31912600671030306</v>
      </c>
      <c r="M200" s="56">
        <v>0</v>
      </c>
      <c r="N200" s="56">
        <v>1</v>
      </c>
      <c r="O200" s="47" t="s">
        <v>1031</v>
      </c>
      <c r="P200" s="34" t="s">
        <v>1240</v>
      </c>
      <c r="Q200" s="39" t="s">
        <v>1033</v>
      </c>
    </row>
    <row r="201" spans="1:17" ht="28.8" x14ac:dyDescent="0.3">
      <c r="A201" s="50" t="s">
        <v>981</v>
      </c>
      <c r="B201" s="47">
        <v>19</v>
      </c>
      <c r="C201" s="34" t="s">
        <v>230</v>
      </c>
      <c r="D201" s="47">
        <v>2</v>
      </c>
      <c r="E201" s="34" t="s">
        <v>341</v>
      </c>
      <c r="F201" s="56">
        <v>3.7272635999999998E-2</v>
      </c>
      <c r="G201" s="56" t="s">
        <v>1030</v>
      </c>
      <c r="H201" s="56">
        <v>2.98181088E-2</v>
      </c>
      <c r="I201" s="56">
        <v>3.7272635999999998E-2</v>
      </c>
      <c r="J201" s="56">
        <v>4.4727163199999996E-2</v>
      </c>
      <c r="K201" s="56">
        <v>2.98181088E-2</v>
      </c>
      <c r="L201" s="56">
        <v>4.4727163199999996E-2</v>
      </c>
      <c r="M201" s="56">
        <v>0</v>
      </c>
      <c r="N201" s="56">
        <v>1</v>
      </c>
      <c r="O201" s="47" t="s">
        <v>1034</v>
      </c>
      <c r="P201" s="34" t="s">
        <v>1241</v>
      </c>
      <c r="Q201" s="39" t="s">
        <v>1036</v>
      </c>
    </row>
    <row r="202" spans="1:17" ht="28.8" x14ac:dyDescent="0.3">
      <c r="A202" s="50" t="s">
        <v>981</v>
      </c>
      <c r="B202" s="47">
        <v>19</v>
      </c>
      <c r="C202" s="34" t="s">
        <v>230</v>
      </c>
      <c r="D202" s="47">
        <v>3</v>
      </c>
      <c r="E202" s="34" t="s">
        <v>392</v>
      </c>
      <c r="F202" s="56">
        <v>4.1922500000000001E-2</v>
      </c>
      <c r="G202" s="56" t="s">
        <v>1030</v>
      </c>
      <c r="H202" s="56">
        <v>3.3538000000000005E-2</v>
      </c>
      <c r="I202" s="56">
        <v>4.1922500000000001E-2</v>
      </c>
      <c r="J202" s="56">
        <v>5.0306999999999998E-2</v>
      </c>
      <c r="K202" s="56">
        <v>3.3538000000000005E-2</v>
      </c>
      <c r="L202" s="56">
        <v>5.0306999999999998E-2</v>
      </c>
      <c r="M202" s="56">
        <v>0</v>
      </c>
      <c r="N202" s="56">
        <v>1</v>
      </c>
      <c r="O202" s="47" t="s">
        <v>1037</v>
      </c>
      <c r="P202" s="34" t="s">
        <v>1242</v>
      </c>
      <c r="Q202" s="39" t="s">
        <v>1036</v>
      </c>
    </row>
    <row r="203" spans="1:17" ht="28.8" x14ac:dyDescent="0.3">
      <c r="A203" s="50" t="s">
        <v>981</v>
      </c>
      <c r="B203" s="47">
        <v>19</v>
      </c>
      <c r="C203" s="34" t="s">
        <v>230</v>
      </c>
      <c r="D203" s="47">
        <v>4</v>
      </c>
      <c r="E203" s="34" t="s">
        <v>455</v>
      </c>
      <c r="F203" s="56">
        <v>0.2477019</v>
      </c>
      <c r="G203" s="56" t="s">
        <v>1030</v>
      </c>
      <c r="H203" s="56">
        <v>0.19816152000000001</v>
      </c>
      <c r="I203" s="56">
        <v>0.2477019</v>
      </c>
      <c r="J203" s="56">
        <v>0.29724227999999997</v>
      </c>
      <c r="K203" s="56">
        <v>0.19816152000000001</v>
      </c>
      <c r="L203" s="56">
        <v>0.29724227999999997</v>
      </c>
      <c r="M203" s="56">
        <v>0</v>
      </c>
      <c r="N203" s="56">
        <v>1</v>
      </c>
      <c r="O203" s="47" t="s">
        <v>1039</v>
      </c>
      <c r="P203" s="34" t="s">
        <v>1243</v>
      </c>
      <c r="Q203" s="39" t="s">
        <v>1036</v>
      </c>
    </row>
    <row r="204" spans="1:17" ht="28.8" x14ac:dyDescent="0.3">
      <c r="A204" s="50" t="s">
        <v>981</v>
      </c>
      <c r="B204" s="47">
        <v>19</v>
      </c>
      <c r="C204" s="34" t="s">
        <v>230</v>
      </c>
      <c r="D204" s="47">
        <v>5</v>
      </c>
      <c r="E204" s="34" t="s">
        <v>458</v>
      </c>
      <c r="F204" s="56">
        <v>3.1926000000000003E-2</v>
      </c>
      <c r="G204" s="56" t="s">
        <v>1030</v>
      </c>
      <c r="H204" s="56">
        <v>2.5540800000000002E-2</v>
      </c>
      <c r="I204" s="56">
        <v>3.1926000000000003E-2</v>
      </c>
      <c r="J204" s="56">
        <v>3.8311200000000004E-2</v>
      </c>
      <c r="K204" s="56">
        <v>2.5540800000000002E-2</v>
      </c>
      <c r="L204" s="56">
        <v>3.8311200000000004E-2</v>
      </c>
      <c r="M204" s="56">
        <v>0</v>
      </c>
      <c r="N204" s="56">
        <v>1</v>
      </c>
      <c r="O204" s="47" t="s">
        <v>1041</v>
      </c>
      <c r="P204" s="34" t="s">
        <v>1244</v>
      </c>
      <c r="Q204" s="39" t="s">
        <v>1036</v>
      </c>
    </row>
    <row r="205" spans="1:17" ht="28.8" x14ac:dyDescent="0.3">
      <c r="A205" s="50" t="s">
        <v>981</v>
      </c>
      <c r="B205" s="47">
        <v>19</v>
      </c>
      <c r="C205" s="34" t="s">
        <v>230</v>
      </c>
      <c r="D205" s="47">
        <v>6</v>
      </c>
      <c r="E205" s="34" t="s">
        <v>459</v>
      </c>
      <c r="F205" s="56">
        <v>0.22479712142857144</v>
      </c>
      <c r="G205" s="56" t="s">
        <v>1030</v>
      </c>
      <c r="H205" s="56">
        <v>0.17983769714285716</v>
      </c>
      <c r="I205" s="56">
        <v>0.22479712142857144</v>
      </c>
      <c r="J205" s="56">
        <v>0.2697565457142857</v>
      </c>
      <c r="K205" s="56">
        <v>0.17983769714285716</v>
      </c>
      <c r="L205" s="56">
        <v>0.2697565457142857</v>
      </c>
      <c r="M205" s="56">
        <v>0</v>
      </c>
      <c r="N205" s="56">
        <v>1</v>
      </c>
      <c r="O205" s="47" t="s">
        <v>1043</v>
      </c>
      <c r="P205" s="34" t="s">
        <v>1245</v>
      </c>
      <c r="Q205" s="39" t="s">
        <v>1036</v>
      </c>
    </row>
    <row r="206" spans="1:17" ht="28.8" x14ac:dyDescent="0.3">
      <c r="A206" s="50" t="s">
        <v>981</v>
      </c>
      <c r="B206" s="47">
        <v>19</v>
      </c>
      <c r="C206" s="34" t="s">
        <v>230</v>
      </c>
      <c r="D206" s="47">
        <v>7</v>
      </c>
      <c r="E206" s="34" t="s">
        <v>562</v>
      </c>
      <c r="F206" s="56">
        <v>4.4414700000000001E-2</v>
      </c>
      <c r="G206" s="56" t="s">
        <v>1030</v>
      </c>
      <c r="H206" s="56">
        <v>3.5531760000000003E-2</v>
      </c>
      <c r="I206" s="56">
        <v>4.4414700000000001E-2</v>
      </c>
      <c r="J206" s="56">
        <v>5.329764E-2</v>
      </c>
      <c r="K206" s="56">
        <v>3.5531760000000003E-2</v>
      </c>
      <c r="L206" s="56">
        <v>5.329764E-2</v>
      </c>
      <c r="M206" s="56">
        <v>0</v>
      </c>
      <c r="N206" s="56">
        <v>1</v>
      </c>
      <c r="O206" s="47" t="s">
        <v>1045</v>
      </c>
      <c r="P206" s="34" t="s">
        <v>1246</v>
      </c>
      <c r="Q206" s="39" t="s">
        <v>1036</v>
      </c>
    </row>
    <row r="207" spans="1:17" ht="28.8" x14ac:dyDescent="0.3">
      <c r="A207" s="50" t="s">
        <v>981</v>
      </c>
      <c r="B207" s="47">
        <v>19</v>
      </c>
      <c r="C207" s="34" t="s">
        <v>230</v>
      </c>
      <c r="D207" s="47">
        <v>8</v>
      </c>
      <c r="E207" s="34" t="s">
        <v>567</v>
      </c>
      <c r="F207" s="56">
        <v>0.14885922333333335</v>
      </c>
      <c r="G207" s="56" t="s">
        <v>1030</v>
      </c>
      <c r="H207" s="56">
        <v>0.11908737866666669</v>
      </c>
      <c r="I207" s="56">
        <v>0.14885922333333335</v>
      </c>
      <c r="J207" s="56">
        <v>0.178631068</v>
      </c>
      <c r="K207" s="56">
        <v>0.11908737866666669</v>
      </c>
      <c r="L207" s="56">
        <v>0.178631068</v>
      </c>
      <c r="M207" s="56">
        <v>0</v>
      </c>
      <c r="N207" s="56">
        <v>1</v>
      </c>
      <c r="O207" s="47" t="s">
        <v>1047</v>
      </c>
      <c r="P207" s="34" t="s">
        <v>1247</v>
      </c>
      <c r="Q207" s="39" t="s">
        <v>1036</v>
      </c>
    </row>
    <row r="208" spans="1:17" ht="43.2" x14ac:dyDescent="0.3">
      <c r="A208" s="50" t="s">
        <v>981</v>
      </c>
      <c r="B208" s="47">
        <v>19</v>
      </c>
      <c r="C208" s="34" t="s">
        <v>230</v>
      </c>
      <c r="D208" s="47">
        <v>9</v>
      </c>
      <c r="E208" s="34" t="s">
        <v>636</v>
      </c>
      <c r="F208" s="56">
        <v>0.35591860000000003</v>
      </c>
      <c r="G208" s="56" t="s">
        <v>1030</v>
      </c>
      <c r="H208" s="56">
        <v>0.31960649999999996</v>
      </c>
      <c r="I208" s="56">
        <v>0.35591860000000003</v>
      </c>
      <c r="J208" s="56">
        <v>0.4186395</v>
      </c>
      <c r="K208" s="56">
        <v>0.28473488000000002</v>
      </c>
      <c r="L208" s="56">
        <v>0.42710232000000004</v>
      </c>
      <c r="M208" s="56">
        <v>0</v>
      </c>
      <c r="N208" s="56">
        <v>1</v>
      </c>
      <c r="O208" s="47" t="s">
        <v>1049</v>
      </c>
      <c r="P208" s="34" t="s">
        <v>1248</v>
      </c>
      <c r="Q208" s="39" t="s">
        <v>1033</v>
      </c>
    </row>
    <row r="209" spans="1:17" ht="28.8" x14ac:dyDescent="0.3">
      <c r="A209" s="50" t="s">
        <v>981</v>
      </c>
      <c r="B209" s="47">
        <v>19</v>
      </c>
      <c r="C209" s="34" t="s">
        <v>230</v>
      </c>
      <c r="D209" s="47">
        <v>10</v>
      </c>
      <c r="E209" s="34" t="s">
        <v>838</v>
      </c>
      <c r="F209" s="56">
        <v>0.2750084711111111</v>
      </c>
      <c r="G209" s="56" t="s">
        <v>1030</v>
      </c>
      <c r="H209" s="56">
        <v>0.22000677688888889</v>
      </c>
      <c r="I209" s="56">
        <v>0.2750084711111111</v>
      </c>
      <c r="J209" s="56">
        <v>0.33001016533333333</v>
      </c>
      <c r="K209" s="56">
        <v>0.22000677688888889</v>
      </c>
      <c r="L209" s="56">
        <v>0.33001016533333333</v>
      </c>
      <c r="M209" s="56">
        <v>0</v>
      </c>
      <c r="N209" s="56">
        <v>1</v>
      </c>
      <c r="O209" s="47" t="s">
        <v>1051</v>
      </c>
      <c r="P209" s="34" t="s">
        <v>1249</v>
      </c>
      <c r="Q209" s="39" t="s">
        <v>1036</v>
      </c>
    </row>
    <row r="210" spans="1:17" ht="28.8" x14ac:dyDescent="0.3">
      <c r="A210" s="51" t="s">
        <v>981</v>
      </c>
      <c r="B210" s="52">
        <v>19</v>
      </c>
      <c r="C210" s="41" t="s">
        <v>230</v>
      </c>
      <c r="D210" s="52">
        <v>11</v>
      </c>
      <c r="E210" s="41" t="s">
        <v>843</v>
      </c>
      <c r="F210" s="57">
        <v>2.4905270454545454E-2</v>
      </c>
      <c r="G210" s="57" t="s">
        <v>1030</v>
      </c>
      <c r="H210" s="57">
        <v>1.9924216363636366E-2</v>
      </c>
      <c r="I210" s="57">
        <v>2.4905270454545454E-2</v>
      </c>
      <c r="J210" s="57">
        <v>2.9886324545454541E-2</v>
      </c>
      <c r="K210" s="57">
        <v>1.9924216363636366E-2</v>
      </c>
      <c r="L210" s="57">
        <v>2.9886324545454541E-2</v>
      </c>
      <c r="M210" s="57">
        <v>0</v>
      </c>
      <c r="N210" s="57">
        <v>1</v>
      </c>
      <c r="O210" s="52" t="s">
        <v>1053</v>
      </c>
      <c r="P210" s="41" t="s">
        <v>1250</v>
      </c>
      <c r="Q210" s="42" t="s">
        <v>1036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4" customWidth="1"/>
    <col min="4" max="4" width="19" customWidth="1"/>
    <col min="5" max="5" width="14" customWidth="1"/>
    <col min="6" max="8" width="19" customWidth="1"/>
    <col min="9" max="10" width="12" customWidth="1"/>
    <col min="11" max="11" width="14" customWidth="1"/>
    <col min="12" max="12" width="23" customWidth="1"/>
    <col min="13" max="13" width="45" customWidth="1"/>
    <col min="14" max="14" width="48" customWidth="1"/>
  </cols>
  <sheetData>
    <row r="1" spans="1:14" ht="25.65" customHeight="1" x14ac:dyDescent="0.3">
      <c r="A1" s="46" t="s">
        <v>1014</v>
      </c>
      <c r="B1" s="46" t="s">
        <v>1015</v>
      </c>
      <c r="C1" s="46" t="s">
        <v>1016</v>
      </c>
      <c r="D1" s="46" t="s">
        <v>1251</v>
      </c>
      <c r="E1" s="46" t="s">
        <v>1020</v>
      </c>
      <c r="F1" s="46" t="s">
        <v>1021</v>
      </c>
      <c r="G1" s="46" t="s">
        <v>1022</v>
      </c>
      <c r="H1" s="46" t="s">
        <v>1023</v>
      </c>
      <c r="I1" s="46" t="s">
        <v>1252</v>
      </c>
      <c r="J1" s="46" t="s">
        <v>1253</v>
      </c>
      <c r="K1" s="46" t="s">
        <v>1254</v>
      </c>
      <c r="L1" s="46" t="s">
        <v>1028</v>
      </c>
      <c r="M1" s="46" t="s">
        <v>1255</v>
      </c>
      <c r="N1" s="46" t="s">
        <v>979</v>
      </c>
    </row>
    <row r="2" spans="1:14" ht="28.8" x14ac:dyDescent="0.3">
      <c r="A2" s="48" t="s">
        <v>981</v>
      </c>
      <c r="B2" s="49">
        <v>1</v>
      </c>
      <c r="C2" s="53" t="s">
        <v>916</v>
      </c>
      <c r="D2" s="58">
        <v>17902.234742085566</v>
      </c>
      <c r="E2" s="58" t="s">
        <v>1030</v>
      </c>
      <c r="F2" s="58">
        <v>14321.787793668453</v>
      </c>
      <c r="G2" s="58">
        <v>17902.234742085566</v>
      </c>
      <c r="H2" s="58">
        <v>21482.681690502679</v>
      </c>
      <c r="I2" s="58">
        <v>0.8</v>
      </c>
      <c r="J2" s="58">
        <v>1.2</v>
      </c>
      <c r="K2" s="49" t="s">
        <v>1256</v>
      </c>
      <c r="L2" s="49" t="s">
        <v>1257</v>
      </c>
      <c r="M2" s="53" t="s">
        <v>1258</v>
      </c>
      <c r="N2" s="54" t="s">
        <v>1259</v>
      </c>
    </row>
    <row r="3" spans="1:14" ht="28.8" x14ac:dyDescent="0.3">
      <c r="A3" s="50" t="s">
        <v>981</v>
      </c>
      <c r="B3" s="47">
        <v>2</v>
      </c>
      <c r="C3" s="34" t="s">
        <v>47</v>
      </c>
      <c r="D3" s="59">
        <v>16760.348697212994</v>
      </c>
      <c r="E3" s="59" t="s">
        <v>1030</v>
      </c>
      <c r="F3" s="59">
        <v>13408.278957770395</v>
      </c>
      <c r="G3" s="59">
        <v>16760.348697212994</v>
      </c>
      <c r="H3" s="59">
        <v>20112.418436655593</v>
      </c>
      <c r="I3" s="59">
        <v>0.8</v>
      </c>
      <c r="J3" s="59">
        <v>1.2</v>
      </c>
      <c r="K3" s="47" t="s">
        <v>1256</v>
      </c>
      <c r="L3" s="47" t="s">
        <v>1257</v>
      </c>
      <c r="M3" s="34" t="s">
        <v>1258</v>
      </c>
      <c r="N3" s="39" t="s">
        <v>1259</v>
      </c>
    </row>
    <row r="4" spans="1:14" ht="28.8" x14ac:dyDescent="0.3">
      <c r="A4" s="50" t="s">
        <v>981</v>
      </c>
      <c r="B4" s="47">
        <v>3</v>
      </c>
      <c r="C4" s="34" t="s">
        <v>64</v>
      </c>
      <c r="D4" s="59">
        <v>2539.4467723049993</v>
      </c>
      <c r="E4" s="59" t="s">
        <v>1030</v>
      </c>
      <c r="F4" s="59">
        <v>2031.5574178439995</v>
      </c>
      <c r="G4" s="59">
        <v>2539.4467723049993</v>
      </c>
      <c r="H4" s="59">
        <v>3047.3361267659989</v>
      </c>
      <c r="I4" s="59">
        <v>0.8</v>
      </c>
      <c r="J4" s="59">
        <v>1.2</v>
      </c>
      <c r="K4" s="47" t="s">
        <v>1256</v>
      </c>
      <c r="L4" s="47" t="s">
        <v>1257</v>
      </c>
      <c r="M4" s="34" t="s">
        <v>1258</v>
      </c>
      <c r="N4" s="39" t="s">
        <v>1259</v>
      </c>
    </row>
    <row r="5" spans="1:14" ht="28.8" x14ac:dyDescent="0.3">
      <c r="A5" s="50" t="s">
        <v>981</v>
      </c>
      <c r="B5" s="47">
        <v>4</v>
      </c>
      <c r="C5" s="34" t="s">
        <v>67</v>
      </c>
      <c r="D5" s="59">
        <v>12788.681992681795</v>
      </c>
      <c r="E5" s="59" t="s">
        <v>1030</v>
      </c>
      <c r="F5" s="59">
        <v>10230.945594145436</v>
      </c>
      <c r="G5" s="59">
        <v>12788.681992681795</v>
      </c>
      <c r="H5" s="59">
        <v>15346.418391218154</v>
      </c>
      <c r="I5" s="59">
        <v>0.8</v>
      </c>
      <c r="J5" s="59">
        <v>1.2</v>
      </c>
      <c r="K5" s="47" t="s">
        <v>1256</v>
      </c>
      <c r="L5" s="47" t="s">
        <v>1260</v>
      </c>
      <c r="M5" s="34" t="s">
        <v>1258</v>
      </c>
      <c r="N5" s="39" t="s">
        <v>1259</v>
      </c>
    </row>
    <row r="6" spans="1:14" ht="28.8" x14ac:dyDescent="0.3">
      <c r="A6" s="50" t="s">
        <v>981</v>
      </c>
      <c r="B6" s="47">
        <v>5</v>
      </c>
      <c r="C6" s="34" t="s">
        <v>290</v>
      </c>
      <c r="D6" s="59">
        <v>906.96273422726995</v>
      </c>
      <c r="E6" s="59" t="s">
        <v>1030</v>
      </c>
      <c r="F6" s="59">
        <v>725.57018738181603</v>
      </c>
      <c r="G6" s="59">
        <v>906.96273422726995</v>
      </c>
      <c r="H6" s="59">
        <v>1088.355281072724</v>
      </c>
      <c r="I6" s="59">
        <v>0.8</v>
      </c>
      <c r="J6" s="59">
        <v>1.2</v>
      </c>
      <c r="K6" s="47" t="s">
        <v>1256</v>
      </c>
      <c r="L6" s="47" t="s">
        <v>1260</v>
      </c>
      <c r="M6" s="34" t="s">
        <v>1258</v>
      </c>
      <c r="N6" s="39" t="s">
        <v>1259</v>
      </c>
    </row>
    <row r="7" spans="1:14" ht="28.8" x14ac:dyDescent="0.3">
      <c r="A7" s="50" t="s">
        <v>981</v>
      </c>
      <c r="B7" s="47">
        <v>6</v>
      </c>
      <c r="C7" s="34" t="s">
        <v>129</v>
      </c>
      <c r="D7" s="59">
        <v>8827.1956120000104</v>
      </c>
      <c r="E7" s="59" t="s">
        <v>1030</v>
      </c>
      <c r="F7" s="59">
        <v>7061.7564896000085</v>
      </c>
      <c r="G7" s="59">
        <v>8827.1956120000104</v>
      </c>
      <c r="H7" s="59">
        <v>10592.634734400011</v>
      </c>
      <c r="I7" s="59">
        <v>0.8</v>
      </c>
      <c r="J7" s="59">
        <v>1.2</v>
      </c>
      <c r="K7" s="47" t="s">
        <v>1256</v>
      </c>
      <c r="L7" s="47" t="s">
        <v>1261</v>
      </c>
      <c r="M7" s="34" t="s">
        <v>1258</v>
      </c>
      <c r="N7" s="39" t="s">
        <v>1259</v>
      </c>
    </row>
    <row r="8" spans="1:14" ht="28.8" x14ac:dyDescent="0.3">
      <c r="A8" s="50" t="s">
        <v>981</v>
      </c>
      <c r="B8" s="47">
        <v>7</v>
      </c>
      <c r="C8" s="34" t="s">
        <v>148</v>
      </c>
      <c r="D8" s="59">
        <v>56250</v>
      </c>
      <c r="E8" s="59" t="s">
        <v>1030</v>
      </c>
      <c r="F8" s="59">
        <v>45000</v>
      </c>
      <c r="G8" s="59">
        <v>56250</v>
      </c>
      <c r="H8" s="59">
        <v>67500</v>
      </c>
      <c r="I8" s="59">
        <v>0.8</v>
      </c>
      <c r="J8" s="59">
        <v>1.2</v>
      </c>
      <c r="K8" s="47" t="s">
        <v>1256</v>
      </c>
      <c r="L8" s="47" t="s">
        <v>1261</v>
      </c>
      <c r="M8" s="34" t="s">
        <v>1258</v>
      </c>
      <c r="N8" s="39" t="s">
        <v>1259</v>
      </c>
    </row>
    <row r="9" spans="1:14" ht="28.8" x14ac:dyDescent="0.3">
      <c r="A9" s="50" t="s">
        <v>981</v>
      </c>
      <c r="B9" s="47">
        <v>8</v>
      </c>
      <c r="C9" s="34" t="s">
        <v>164</v>
      </c>
      <c r="D9" s="59">
        <v>4275</v>
      </c>
      <c r="E9" s="59" t="s">
        <v>1030</v>
      </c>
      <c r="F9" s="59">
        <v>3420</v>
      </c>
      <c r="G9" s="59">
        <v>4275</v>
      </c>
      <c r="H9" s="59">
        <v>5130</v>
      </c>
      <c r="I9" s="59">
        <v>0.8</v>
      </c>
      <c r="J9" s="59">
        <v>1.2</v>
      </c>
      <c r="K9" s="47" t="s">
        <v>1256</v>
      </c>
      <c r="L9" s="47" t="s">
        <v>1261</v>
      </c>
      <c r="M9" s="34" t="s">
        <v>1258</v>
      </c>
      <c r="N9" s="39" t="s">
        <v>1259</v>
      </c>
    </row>
    <row r="10" spans="1:14" ht="28.8" x14ac:dyDescent="0.3">
      <c r="A10" s="50" t="s">
        <v>981</v>
      </c>
      <c r="B10" s="47">
        <v>9</v>
      </c>
      <c r="C10" s="34" t="s">
        <v>10</v>
      </c>
      <c r="D10" s="59">
        <v>8523.7728072406462</v>
      </c>
      <c r="E10" s="59" t="s">
        <v>1030</v>
      </c>
      <c r="F10" s="59">
        <v>6819.0182457925175</v>
      </c>
      <c r="G10" s="59">
        <v>8523.7728072406462</v>
      </c>
      <c r="H10" s="59">
        <v>10228.527368688776</v>
      </c>
      <c r="I10" s="59">
        <v>0.8</v>
      </c>
      <c r="J10" s="59">
        <v>1.2</v>
      </c>
      <c r="K10" s="47" t="s">
        <v>1256</v>
      </c>
      <c r="L10" s="47" t="s">
        <v>1262</v>
      </c>
      <c r="M10" s="34" t="s">
        <v>1258</v>
      </c>
      <c r="N10" s="39" t="s">
        <v>1259</v>
      </c>
    </row>
    <row r="11" spans="1:14" ht="28.8" x14ac:dyDescent="0.3">
      <c r="A11" s="50" t="s">
        <v>981</v>
      </c>
      <c r="B11" s="47">
        <v>10</v>
      </c>
      <c r="C11" s="34" t="s">
        <v>24</v>
      </c>
      <c r="D11" s="59">
        <v>736.9838163302511</v>
      </c>
      <c r="E11" s="59" t="s">
        <v>1030</v>
      </c>
      <c r="F11" s="59">
        <v>589.58705306420086</v>
      </c>
      <c r="G11" s="59">
        <v>736.9838163302511</v>
      </c>
      <c r="H11" s="59">
        <v>884.38057959630135</v>
      </c>
      <c r="I11" s="59">
        <v>0.8</v>
      </c>
      <c r="J11" s="59">
        <v>1.2</v>
      </c>
      <c r="K11" s="47" t="s">
        <v>1256</v>
      </c>
      <c r="L11" s="47" t="s">
        <v>1262</v>
      </c>
      <c r="M11" s="34" t="s">
        <v>1258</v>
      </c>
      <c r="N11" s="39" t="s">
        <v>1259</v>
      </c>
    </row>
    <row r="12" spans="1:14" ht="28.8" x14ac:dyDescent="0.3">
      <c r="A12" s="50" t="s">
        <v>981</v>
      </c>
      <c r="B12" s="47">
        <v>11</v>
      </c>
      <c r="C12" s="34" t="s">
        <v>29</v>
      </c>
      <c r="D12" s="59">
        <v>322.29612959048882</v>
      </c>
      <c r="E12" s="59" t="s">
        <v>1030</v>
      </c>
      <c r="F12" s="59">
        <v>257.83690367239109</v>
      </c>
      <c r="G12" s="59">
        <v>322.29612959048882</v>
      </c>
      <c r="H12" s="59">
        <v>386.75535550858655</v>
      </c>
      <c r="I12" s="59">
        <v>0.8</v>
      </c>
      <c r="J12" s="59">
        <v>1.2</v>
      </c>
      <c r="K12" s="47" t="s">
        <v>1256</v>
      </c>
      <c r="L12" s="47" t="s">
        <v>1262</v>
      </c>
      <c r="M12" s="34" t="s">
        <v>1258</v>
      </c>
      <c r="N12" s="39" t="s">
        <v>1259</v>
      </c>
    </row>
    <row r="13" spans="1:14" ht="28.8" x14ac:dyDescent="0.3">
      <c r="A13" s="50" t="s">
        <v>981</v>
      </c>
      <c r="B13" s="47">
        <v>12</v>
      </c>
      <c r="C13" s="34" t="s">
        <v>311</v>
      </c>
      <c r="D13" s="59">
        <v>6314.0601133582823</v>
      </c>
      <c r="E13" s="59" t="s">
        <v>1030</v>
      </c>
      <c r="F13" s="59">
        <v>5051.2480906866258</v>
      </c>
      <c r="G13" s="59">
        <v>6314.0601133582823</v>
      </c>
      <c r="H13" s="59">
        <v>7576.8721360299387</v>
      </c>
      <c r="I13" s="59">
        <v>0.8</v>
      </c>
      <c r="J13" s="59">
        <v>1.2</v>
      </c>
      <c r="K13" s="47" t="s">
        <v>1256</v>
      </c>
      <c r="L13" s="47" t="s">
        <v>1263</v>
      </c>
      <c r="M13" s="34" t="s">
        <v>1258</v>
      </c>
      <c r="N13" s="39" t="s">
        <v>1259</v>
      </c>
    </row>
    <row r="14" spans="1:14" ht="28.8" x14ac:dyDescent="0.3">
      <c r="A14" s="50" t="s">
        <v>981</v>
      </c>
      <c r="B14" s="47">
        <v>13</v>
      </c>
      <c r="C14" s="34" t="s">
        <v>324</v>
      </c>
      <c r="D14" s="59">
        <v>46348.938822466123</v>
      </c>
      <c r="E14" s="59" t="s">
        <v>1030</v>
      </c>
      <c r="F14" s="59">
        <v>37079.1510579729</v>
      </c>
      <c r="G14" s="59">
        <v>46348.938822466123</v>
      </c>
      <c r="H14" s="59">
        <v>55618.726586959347</v>
      </c>
      <c r="I14" s="59">
        <v>0.8</v>
      </c>
      <c r="J14" s="59">
        <v>1.2</v>
      </c>
      <c r="K14" s="47" t="s">
        <v>1256</v>
      </c>
      <c r="L14" s="47" t="s">
        <v>1263</v>
      </c>
      <c r="M14" s="34" t="s">
        <v>1258</v>
      </c>
      <c r="N14" s="39" t="s">
        <v>1259</v>
      </c>
    </row>
    <row r="15" spans="1:14" ht="28.8" x14ac:dyDescent="0.3">
      <c r="A15" s="50" t="s">
        <v>981</v>
      </c>
      <c r="B15" s="47">
        <v>14</v>
      </c>
      <c r="C15" s="34" t="s">
        <v>333</v>
      </c>
      <c r="D15" s="59">
        <v>751.48582020618778</v>
      </c>
      <c r="E15" s="59" t="s">
        <v>1030</v>
      </c>
      <c r="F15" s="59">
        <v>601.1886561649502</v>
      </c>
      <c r="G15" s="59">
        <v>751.48582020618778</v>
      </c>
      <c r="H15" s="59">
        <v>901.78298424742536</v>
      </c>
      <c r="I15" s="59">
        <v>0.8</v>
      </c>
      <c r="J15" s="59">
        <v>1.2</v>
      </c>
      <c r="K15" s="47" t="s">
        <v>1256</v>
      </c>
      <c r="L15" s="47" t="s">
        <v>1264</v>
      </c>
      <c r="M15" s="34" t="s">
        <v>1258</v>
      </c>
      <c r="N15" s="39" t="s">
        <v>1259</v>
      </c>
    </row>
    <row r="16" spans="1:14" ht="28.8" x14ac:dyDescent="0.3">
      <c r="A16" s="50" t="s">
        <v>981</v>
      </c>
      <c r="B16" s="47">
        <v>15</v>
      </c>
      <c r="C16" s="34" t="s">
        <v>340</v>
      </c>
      <c r="D16" s="59">
        <v>13531.2109090909</v>
      </c>
      <c r="E16" s="59" t="s">
        <v>1030</v>
      </c>
      <c r="F16" s="59">
        <v>10824.968727272721</v>
      </c>
      <c r="G16" s="59">
        <v>13531.2109090909</v>
      </c>
      <c r="H16" s="59">
        <v>16237.453090909079</v>
      </c>
      <c r="I16" s="59">
        <v>0.8</v>
      </c>
      <c r="J16" s="59">
        <v>1.2</v>
      </c>
      <c r="K16" s="47" t="s">
        <v>1256</v>
      </c>
      <c r="L16" s="47" t="s">
        <v>1264</v>
      </c>
      <c r="M16" s="34" t="s">
        <v>1258</v>
      </c>
      <c r="N16" s="39" t="s">
        <v>1259</v>
      </c>
    </row>
    <row r="17" spans="1:14" ht="28.8" x14ac:dyDescent="0.3">
      <c r="A17" s="50" t="s">
        <v>981</v>
      </c>
      <c r="B17" s="47">
        <v>16</v>
      </c>
      <c r="C17" s="34" t="s">
        <v>79</v>
      </c>
      <c r="D17" s="59">
        <v>4313.5519193017753</v>
      </c>
      <c r="E17" s="59" t="s">
        <v>1030</v>
      </c>
      <c r="F17" s="59">
        <v>3450.8415354414205</v>
      </c>
      <c r="G17" s="59">
        <v>4313.5519193017753</v>
      </c>
      <c r="H17" s="59">
        <v>5176.2623031621306</v>
      </c>
      <c r="I17" s="59">
        <v>0.8</v>
      </c>
      <c r="J17" s="59">
        <v>1.2</v>
      </c>
      <c r="K17" s="47" t="s">
        <v>1256</v>
      </c>
      <c r="L17" s="47" t="s">
        <v>1265</v>
      </c>
      <c r="M17" s="34" t="s">
        <v>1258</v>
      </c>
      <c r="N17" s="39" t="s">
        <v>1259</v>
      </c>
    </row>
    <row r="18" spans="1:14" ht="28.8" x14ac:dyDescent="0.3">
      <c r="A18" s="50" t="s">
        <v>981</v>
      </c>
      <c r="B18" s="47">
        <v>17</v>
      </c>
      <c r="C18" s="34" t="s">
        <v>83</v>
      </c>
      <c r="D18" s="59">
        <v>544.7911306499999</v>
      </c>
      <c r="E18" s="59" t="s">
        <v>1030</v>
      </c>
      <c r="F18" s="59">
        <v>435.83290451999994</v>
      </c>
      <c r="G18" s="59">
        <v>544.7911306499999</v>
      </c>
      <c r="H18" s="59">
        <v>653.74935677999986</v>
      </c>
      <c r="I18" s="59">
        <v>0.8</v>
      </c>
      <c r="J18" s="59">
        <v>1.2</v>
      </c>
      <c r="K18" s="47" t="s">
        <v>1256</v>
      </c>
      <c r="L18" s="47" t="s">
        <v>1265</v>
      </c>
      <c r="M18" s="34" t="s">
        <v>1258</v>
      </c>
      <c r="N18" s="39" t="s">
        <v>1259</v>
      </c>
    </row>
    <row r="19" spans="1:14" ht="28.8" x14ac:dyDescent="0.3">
      <c r="A19" s="50" t="s">
        <v>981</v>
      </c>
      <c r="B19" s="47">
        <v>18</v>
      </c>
      <c r="C19" s="34" t="s">
        <v>217</v>
      </c>
      <c r="D19" s="59">
        <v>2804.4809679534883</v>
      </c>
      <c r="E19" s="59" t="s">
        <v>1030</v>
      </c>
      <c r="F19" s="59">
        <v>2243.5847743627905</v>
      </c>
      <c r="G19" s="59">
        <v>2804.4809679534883</v>
      </c>
      <c r="H19" s="59">
        <v>3365.377161544186</v>
      </c>
      <c r="I19" s="59">
        <v>0.8</v>
      </c>
      <c r="J19" s="59">
        <v>1.2</v>
      </c>
      <c r="K19" s="47" t="s">
        <v>1256</v>
      </c>
      <c r="L19" s="47" t="s">
        <v>1266</v>
      </c>
      <c r="M19" s="34" t="s">
        <v>1258</v>
      </c>
      <c r="N19" s="39" t="s">
        <v>1259</v>
      </c>
    </row>
    <row r="20" spans="1:14" ht="28.8" x14ac:dyDescent="0.3">
      <c r="A20" s="51" t="s">
        <v>981</v>
      </c>
      <c r="B20" s="52">
        <v>19</v>
      </c>
      <c r="C20" s="41" t="s">
        <v>230</v>
      </c>
      <c r="D20" s="60">
        <v>644.59485673333336</v>
      </c>
      <c r="E20" s="60" t="s">
        <v>1030</v>
      </c>
      <c r="F20" s="60">
        <v>515.67588538666666</v>
      </c>
      <c r="G20" s="60">
        <v>644.59485673333336</v>
      </c>
      <c r="H20" s="60">
        <v>773.51382808000005</v>
      </c>
      <c r="I20" s="60">
        <v>0.8</v>
      </c>
      <c r="J20" s="60">
        <v>1.2</v>
      </c>
      <c r="K20" s="52" t="s">
        <v>1256</v>
      </c>
      <c r="L20" s="52" t="s">
        <v>1266</v>
      </c>
      <c r="M20" s="41" t="s">
        <v>1258</v>
      </c>
      <c r="N20" s="42" t="s">
        <v>1259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"/>
  <sheetViews>
    <sheetView workbookViewId="0">
      <selection activeCell="G15" sqref="G15"/>
    </sheetView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1" customWidth="1"/>
    <col min="5" max="5" width="14" customWidth="1"/>
    <col min="6" max="8" width="20" customWidth="1"/>
    <col min="9" max="10" width="12" customWidth="1"/>
    <col min="11" max="11" width="18" customWidth="1"/>
    <col min="12" max="13" width="24" customWidth="1"/>
    <col min="14" max="14" width="42" customWidth="1"/>
    <col min="15" max="15" width="54" customWidth="1"/>
  </cols>
  <sheetData>
    <row r="1" spans="1:15" ht="25.65" customHeight="1" x14ac:dyDescent="0.3">
      <c r="A1" s="46" t="s">
        <v>1014</v>
      </c>
      <c r="B1" s="46" t="s">
        <v>1017</v>
      </c>
      <c r="C1" s="46" t="s">
        <v>1018</v>
      </c>
      <c r="D1" s="46" t="s">
        <v>1267</v>
      </c>
      <c r="E1" s="46" t="s">
        <v>1020</v>
      </c>
      <c r="F1" s="46" t="s">
        <v>1021</v>
      </c>
      <c r="G1" s="46" t="s">
        <v>1022</v>
      </c>
      <c r="H1" s="46" t="s">
        <v>1023</v>
      </c>
      <c r="I1" s="46" t="s">
        <v>1252</v>
      </c>
      <c r="J1" s="46" t="s">
        <v>1253</v>
      </c>
      <c r="K1" s="46" t="s">
        <v>1254</v>
      </c>
      <c r="L1" s="46" t="s">
        <v>1268</v>
      </c>
      <c r="M1" s="46" t="s">
        <v>1028</v>
      </c>
      <c r="N1" s="46" t="s">
        <v>1255</v>
      </c>
      <c r="O1" s="46" t="s">
        <v>979</v>
      </c>
    </row>
    <row r="2" spans="1:15" x14ac:dyDescent="0.3">
      <c r="A2" s="48" t="s">
        <v>981</v>
      </c>
      <c r="B2" s="49">
        <v>1</v>
      </c>
      <c r="C2" s="53" t="s">
        <v>9</v>
      </c>
      <c r="D2" s="58">
        <v>1422903.4852546917</v>
      </c>
      <c r="E2" s="58" t="s">
        <v>1030</v>
      </c>
      <c r="F2" s="58">
        <v>1138322.7882037533</v>
      </c>
      <c r="G2" s="58">
        <v>1422903.4852546917</v>
      </c>
      <c r="H2" s="58">
        <v>1707484.1823056301</v>
      </c>
      <c r="I2" s="58">
        <v>0.8</v>
      </c>
      <c r="J2" s="58">
        <v>1.2</v>
      </c>
      <c r="K2" s="49" t="s">
        <v>1256</v>
      </c>
      <c r="L2" s="49" t="s">
        <v>1269</v>
      </c>
      <c r="M2" s="49" t="s">
        <v>1270</v>
      </c>
      <c r="N2" s="53" t="s">
        <v>1271</v>
      </c>
      <c r="O2" s="54" t="s">
        <v>1259</v>
      </c>
    </row>
    <row r="3" spans="1:15" ht="28.8" x14ac:dyDescent="0.3">
      <c r="A3" s="50" t="s">
        <v>1000</v>
      </c>
      <c r="B3" s="47">
        <v>2</v>
      </c>
      <c r="C3" s="34" t="s">
        <v>341</v>
      </c>
      <c r="D3" s="59">
        <v>0</v>
      </c>
      <c r="E3" s="59" t="s">
        <v>1067</v>
      </c>
      <c r="F3" s="59">
        <v>0</v>
      </c>
      <c r="G3" s="59">
        <v>0</v>
      </c>
      <c r="H3" s="59">
        <v>0</v>
      </c>
      <c r="I3" s="59">
        <v>1</v>
      </c>
      <c r="J3" s="59">
        <v>1</v>
      </c>
      <c r="K3" s="47" t="s">
        <v>1272</v>
      </c>
      <c r="L3" s="47" t="s">
        <v>1009</v>
      </c>
      <c r="M3" s="47" t="s">
        <v>1273</v>
      </c>
      <c r="N3" s="34" t="s">
        <v>1274</v>
      </c>
      <c r="O3" s="39" t="s">
        <v>1275</v>
      </c>
    </row>
    <row r="4" spans="1:15" x14ac:dyDescent="0.3">
      <c r="A4" s="50" t="s">
        <v>981</v>
      </c>
      <c r="B4" s="47">
        <v>3</v>
      </c>
      <c r="C4" s="34" t="s">
        <v>392</v>
      </c>
      <c r="D4" s="59">
        <v>8033410</v>
      </c>
      <c r="E4" s="59" t="s">
        <v>1030</v>
      </c>
      <c r="F4" s="59">
        <v>6426728</v>
      </c>
      <c r="G4" s="59">
        <v>8033410</v>
      </c>
      <c r="H4" s="59">
        <v>9640092</v>
      </c>
      <c r="I4" s="59">
        <v>0.8</v>
      </c>
      <c r="J4" s="59">
        <v>1.2</v>
      </c>
      <c r="K4" s="47" t="s">
        <v>1256</v>
      </c>
      <c r="L4" s="47" t="s">
        <v>1269</v>
      </c>
      <c r="M4" s="47" t="s">
        <v>1276</v>
      </c>
      <c r="N4" s="34" t="s">
        <v>1271</v>
      </c>
      <c r="O4" s="39" t="s">
        <v>1259</v>
      </c>
    </row>
    <row r="5" spans="1:15" ht="28.8" x14ac:dyDescent="0.3">
      <c r="A5" s="50" t="s">
        <v>1000</v>
      </c>
      <c r="B5" s="47">
        <v>4</v>
      </c>
      <c r="C5" s="34" t="s">
        <v>455</v>
      </c>
      <c r="D5" s="59">
        <v>0</v>
      </c>
      <c r="E5" s="59" t="s">
        <v>1067</v>
      </c>
      <c r="F5" s="59">
        <v>0</v>
      </c>
      <c r="G5" s="59">
        <v>0</v>
      </c>
      <c r="H5" s="59">
        <v>0</v>
      </c>
      <c r="I5" s="59">
        <v>1</v>
      </c>
      <c r="J5" s="59">
        <v>1</v>
      </c>
      <c r="K5" s="47" t="s">
        <v>1272</v>
      </c>
      <c r="L5" s="47" t="s">
        <v>1009</v>
      </c>
      <c r="M5" s="47" t="s">
        <v>1277</v>
      </c>
      <c r="N5" s="34" t="s">
        <v>1274</v>
      </c>
      <c r="O5" s="39" t="s">
        <v>1275</v>
      </c>
    </row>
    <row r="6" spans="1:15" x14ac:dyDescent="0.3">
      <c r="A6" s="50" t="s">
        <v>981</v>
      </c>
      <c r="B6" s="47">
        <v>5</v>
      </c>
      <c r="C6" s="34" t="s">
        <v>458</v>
      </c>
      <c r="D6" s="59">
        <v>7414999.9999999991</v>
      </c>
      <c r="E6" s="59" t="s">
        <v>1030</v>
      </c>
      <c r="F6" s="59">
        <v>5932000</v>
      </c>
      <c r="G6" s="59">
        <v>7414999.9999999991</v>
      </c>
      <c r="H6" s="59">
        <v>8897999.9999999981</v>
      </c>
      <c r="I6" s="59">
        <v>0.8</v>
      </c>
      <c r="J6" s="59">
        <v>1.2</v>
      </c>
      <c r="K6" s="47" t="s">
        <v>1256</v>
      </c>
      <c r="L6" s="47" t="s">
        <v>1269</v>
      </c>
      <c r="M6" s="47" t="s">
        <v>1278</v>
      </c>
      <c r="N6" s="34" t="s">
        <v>1271</v>
      </c>
      <c r="O6" s="39" t="s">
        <v>1259</v>
      </c>
    </row>
    <row r="7" spans="1:15" x14ac:dyDescent="0.3">
      <c r="A7" s="50" t="s">
        <v>981</v>
      </c>
      <c r="B7" s="47">
        <v>6</v>
      </c>
      <c r="C7" s="34" t="s">
        <v>459</v>
      </c>
      <c r="D7" s="59">
        <v>6918300</v>
      </c>
      <c r="E7" s="59" t="s">
        <v>1030</v>
      </c>
      <c r="F7" s="59">
        <v>5534640</v>
      </c>
      <c r="G7" s="59">
        <v>6918300</v>
      </c>
      <c r="H7" s="59">
        <v>8301960</v>
      </c>
      <c r="I7" s="59">
        <v>0.8</v>
      </c>
      <c r="J7" s="59">
        <v>1.2</v>
      </c>
      <c r="K7" s="47" t="s">
        <v>1256</v>
      </c>
      <c r="L7" s="47" t="s">
        <v>1269</v>
      </c>
      <c r="M7" s="47" t="s">
        <v>1279</v>
      </c>
      <c r="N7" s="34" t="s">
        <v>1271</v>
      </c>
      <c r="O7" s="39" t="s">
        <v>1259</v>
      </c>
    </row>
    <row r="8" spans="1:15" x14ac:dyDescent="0.3">
      <c r="A8" s="50" t="s">
        <v>981</v>
      </c>
      <c r="B8" s="47">
        <v>7</v>
      </c>
      <c r="C8" s="34" t="s">
        <v>562</v>
      </c>
      <c r="D8" s="59">
        <v>1480560.0000000002</v>
      </c>
      <c r="E8" s="59" t="s">
        <v>1030</v>
      </c>
      <c r="F8" s="59">
        <v>1184448.0000000002</v>
      </c>
      <c r="G8" s="59">
        <v>1480560.0000000002</v>
      </c>
      <c r="H8" s="59">
        <v>1776672.0000000002</v>
      </c>
      <c r="I8" s="59">
        <v>0.8</v>
      </c>
      <c r="J8" s="59">
        <v>1.2</v>
      </c>
      <c r="K8" s="47" t="s">
        <v>1256</v>
      </c>
      <c r="L8" s="47" t="s">
        <v>1269</v>
      </c>
      <c r="M8" s="47" t="s">
        <v>1280</v>
      </c>
      <c r="N8" s="34" t="s">
        <v>1271</v>
      </c>
      <c r="O8" s="39" t="s">
        <v>1259</v>
      </c>
    </row>
    <row r="9" spans="1:15" ht="17.399999999999999" customHeight="1" x14ac:dyDescent="0.3">
      <c r="A9" s="50" t="s">
        <v>1000</v>
      </c>
      <c r="B9" s="47">
        <v>8</v>
      </c>
      <c r="C9" s="34" t="s">
        <v>567</v>
      </c>
      <c r="D9" s="59">
        <v>0</v>
      </c>
      <c r="E9" s="59" t="s">
        <v>1067</v>
      </c>
      <c r="F9" s="59">
        <v>0</v>
      </c>
      <c r="G9" s="59">
        <v>0</v>
      </c>
      <c r="H9" s="59">
        <v>0</v>
      </c>
      <c r="I9" s="59">
        <v>1</v>
      </c>
      <c r="J9" s="59">
        <v>1</v>
      </c>
      <c r="K9" s="47" t="s">
        <v>1272</v>
      </c>
      <c r="L9" s="47" t="s">
        <v>1009</v>
      </c>
      <c r="M9" s="47" t="s">
        <v>1281</v>
      </c>
      <c r="N9" s="34" t="s">
        <v>1274</v>
      </c>
      <c r="O9" s="39" t="s">
        <v>1275</v>
      </c>
    </row>
    <row r="10" spans="1:15" x14ac:dyDescent="0.3">
      <c r="A10" s="50" t="s">
        <v>981</v>
      </c>
      <c r="B10" s="47">
        <v>9</v>
      </c>
      <c r="C10" s="34" t="s">
        <v>636</v>
      </c>
      <c r="D10" s="59">
        <v>3792999.9999999995</v>
      </c>
      <c r="E10" s="59" t="s">
        <v>1030</v>
      </c>
      <c r="F10" s="59">
        <v>3034400</v>
      </c>
      <c r="G10" s="59">
        <v>3792999.9999999995</v>
      </c>
      <c r="H10" s="59">
        <v>4551599.9999999991</v>
      </c>
      <c r="I10" s="59">
        <v>0.8</v>
      </c>
      <c r="J10" s="59">
        <v>1.2</v>
      </c>
      <c r="K10" s="47" t="s">
        <v>1256</v>
      </c>
      <c r="L10" s="47" t="s">
        <v>1269</v>
      </c>
      <c r="M10" s="47" t="s">
        <v>1282</v>
      </c>
      <c r="N10" s="34" t="s">
        <v>1271</v>
      </c>
      <c r="O10" s="39" t="s">
        <v>1259</v>
      </c>
    </row>
    <row r="11" spans="1:15" x14ac:dyDescent="0.3">
      <c r="A11" s="50" t="s">
        <v>981</v>
      </c>
      <c r="B11" s="47">
        <v>10</v>
      </c>
      <c r="C11" s="34" t="s">
        <v>838</v>
      </c>
      <c r="D11" s="59">
        <v>1833999.9999999998</v>
      </c>
      <c r="E11" s="59" t="s">
        <v>1030</v>
      </c>
      <c r="F11" s="59">
        <v>1467200</v>
      </c>
      <c r="G11" s="59">
        <v>1833999.9999999998</v>
      </c>
      <c r="H11" s="59">
        <v>2200799.9999999995</v>
      </c>
      <c r="I11" s="59">
        <v>0.8</v>
      </c>
      <c r="J11" s="59">
        <v>1.2</v>
      </c>
      <c r="K11" s="47" t="s">
        <v>1256</v>
      </c>
      <c r="L11" s="47" t="s">
        <v>1269</v>
      </c>
      <c r="M11" s="47" t="s">
        <v>1283</v>
      </c>
      <c r="N11" s="34" t="s">
        <v>1271</v>
      </c>
      <c r="O11" s="39" t="s">
        <v>1259</v>
      </c>
    </row>
    <row r="12" spans="1:15" x14ac:dyDescent="0.3">
      <c r="A12" s="51" t="s">
        <v>981</v>
      </c>
      <c r="B12" s="52">
        <v>11</v>
      </c>
      <c r="C12" s="41" t="s">
        <v>843</v>
      </c>
      <c r="D12" s="60">
        <v>1789999.9999999998</v>
      </c>
      <c r="E12" s="60" t="s">
        <v>1030</v>
      </c>
      <c r="F12" s="60">
        <v>1432000</v>
      </c>
      <c r="G12" s="60">
        <v>1789999.9999999998</v>
      </c>
      <c r="H12" s="60">
        <v>2147999.9999999995</v>
      </c>
      <c r="I12" s="60">
        <v>0.8</v>
      </c>
      <c r="J12" s="60">
        <v>1.2</v>
      </c>
      <c r="K12" s="52" t="s">
        <v>1256</v>
      </c>
      <c r="L12" s="52" t="s">
        <v>1269</v>
      </c>
      <c r="M12" s="52" t="s">
        <v>1284</v>
      </c>
      <c r="N12" s="41" t="s">
        <v>1271</v>
      </c>
      <c r="O12" s="42" t="s">
        <v>1259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"/>
  <sheetViews>
    <sheetView workbookViewId="0">
      <selection activeCell="F10" sqref="F10"/>
    </sheetView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3" customWidth="1"/>
    <col min="5" max="5" width="14" customWidth="1"/>
    <col min="6" max="8" width="21" customWidth="1"/>
    <col min="9" max="10" width="12" customWidth="1"/>
    <col min="11" max="11" width="16" customWidth="1"/>
    <col min="12" max="12" width="18" customWidth="1"/>
    <col min="13" max="13" width="24" customWidth="1"/>
    <col min="14" max="14" width="42" customWidth="1"/>
    <col min="15" max="15" width="48" customWidth="1"/>
  </cols>
  <sheetData>
    <row r="1" spans="1:15" ht="25.65" customHeight="1" x14ac:dyDescent="0.3">
      <c r="A1" s="46" t="s">
        <v>1014</v>
      </c>
      <c r="B1" s="46" t="s">
        <v>1017</v>
      </c>
      <c r="C1" s="46" t="s">
        <v>1018</v>
      </c>
      <c r="D1" s="46" t="s">
        <v>1285</v>
      </c>
      <c r="E1" s="46" t="s">
        <v>1020</v>
      </c>
      <c r="F1" s="46" t="s">
        <v>1021</v>
      </c>
      <c r="G1" s="46" t="s">
        <v>1022</v>
      </c>
      <c r="H1" s="46" t="s">
        <v>1023</v>
      </c>
      <c r="I1" s="46" t="s">
        <v>1252</v>
      </c>
      <c r="J1" s="46" t="s">
        <v>1253</v>
      </c>
      <c r="K1" s="46" t="s">
        <v>1254</v>
      </c>
      <c r="L1" s="46" t="s">
        <v>1286</v>
      </c>
      <c r="M1" s="46" t="s">
        <v>1028</v>
      </c>
      <c r="N1" s="46" t="s">
        <v>1255</v>
      </c>
      <c r="O1" s="46" t="s">
        <v>979</v>
      </c>
    </row>
    <row r="2" spans="1:15" x14ac:dyDescent="0.3">
      <c r="A2" s="48" t="s">
        <v>981</v>
      </c>
      <c r="B2" s="49">
        <v>1</v>
      </c>
      <c r="C2" s="53" t="s">
        <v>9</v>
      </c>
      <c r="D2" s="58">
        <v>722908.74524714833</v>
      </c>
      <c r="E2" s="58" t="s">
        <v>1030</v>
      </c>
      <c r="F2" s="58">
        <v>506036.12167300377</v>
      </c>
      <c r="G2" s="58">
        <v>722908.74524714833</v>
      </c>
      <c r="H2" s="58">
        <v>939781.36882129288</v>
      </c>
      <c r="I2" s="58">
        <v>0.7</v>
      </c>
      <c r="J2" s="58">
        <v>1.3</v>
      </c>
      <c r="K2" s="49" t="s">
        <v>1256</v>
      </c>
      <c r="L2" s="49" t="s">
        <v>1287</v>
      </c>
      <c r="M2" s="49" t="s">
        <v>1288</v>
      </c>
      <c r="N2" s="53" t="s">
        <v>1289</v>
      </c>
      <c r="O2" s="54" t="s">
        <v>1290</v>
      </c>
    </row>
    <row r="3" spans="1:15" x14ac:dyDescent="0.3">
      <c r="A3" s="50" t="s">
        <v>981</v>
      </c>
      <c r="B3" s="47">
        <v>2</v>
      </c>
      <c r="C3" s="34" t="s">
        <v>341</v>
      </c>
      <c r="D3" s="59">
        <v>15229300</v>
      </c>
      <c r="E3" s="59" t="s">
        <v>1030</v>
      </c>
      <c r="F3" s="59">
        <v>10660510</v>
      </c>
      <c r="G3" s="59">
        <v>15229300</v>
      </c>
      <c r="H3" s="59">
        <v>19798090</v>
      </c>
      <c r="I3" s="59">
        <v>0.7</v>
      </c>
      <c r="J3" s="59">
        <v>1.3</v>
      </c>
      <c r="K3" s="47" t="s">
        <v>1256</v>
      </c>
      <c r="L3" s="47" t="s">
        <v>1287</v>
      </c>
      <c r="M3" s="47" t="s">
        <v>1291</v>
      </c>
      <c r="N3" s="34" t="s">
        <v>1289</v>
      </c>
      <c r="O3" s="39" t="s">
        <v>1290</v>
      </c>
    </row>
    <row r="4" spans="1:15" x14ac:dyDescent="0.3">
      <c r="A4" s="50" t="s">
        <v>981</v>
      </c>
      <c r="B4" s="47">
        <v>3</v>
      </c>
      <c r="C4" s="34" t="s">
        <v>392</v>
      </c>
      <c r="D4" s="59">
        <v>6457470000.000001</v>
      </c>
      <c r="E4" s="59" t="s">
        <v>1030</v>
      </c>
      <c r="F4" s="59">
        <v>4520229000</v>
      </c>
      <c r="G4" s="59">
        <v>6457470000.000001</v>
      </c>
      <c r="H4" s="59">
        <v>8394711000.0000019</v>
      </c>
      <c r="I4" s="59">
        <v>0.7</v>
      </c>
      <c r="J4" s="59">
        <v>1.3</v>
      </c>
      <c r="K4" s="47" t="s">
        <v>1256</v>
      </c>
      <c r="L4" s="47" t="s">
        <v>1287</v>
      </c>
      <c r="M4" s="47" t="s">
        <v>1292</v>
      </c>
      <c r="N4" s="34" t="s">
        <v>1289</v>
      </c>
      <c r="O4" s="39" t="s">
        <v>1290</v>
      </c>
    </row>
    <row r="5" spans="1:15" x14ac:dyDescent="0.3">
      <c r="A5" s="50" t="s">
        <v>981</v>
      </c>
      <c r="B5" s="47">
        <v>4</v>
      </c>
      <c r="C5" s="34" t="s">
        <v>455</v>
      </c>
      <c r="D5" s="59">
        <v>538480000</v>
      </c>
      <c r="E5" s="59" t="s">
        <v>1030</v>
      </c>
      <c r="F5" s="59">
        <v>376936000</v>
      </c>
      <c r="G5" s="59">
        <v>538480000</v>
      </c>
      <c r="H5" s="59">
        <v>700024000</v>
      </c>
      <c r="I5" s="59">
        <v>0.7</v>
      </c>
      <c r="J5" s="59">
        <v>1.3</v>
      </c>
      <c r="K5" s="47" t="s">
        <v>1256</v>
      </c>
      <c r="L5" s="47" t="s">
        <v>1287</v>
      </c>
      <c r="M5" s="47" t="s">
        <v>1293</v>
      </c>
      <c r="N5" s="34" t="s">
        <v>1289</v>
      </c>
      <c r="O5" s="39" t="s">
        <v>1290</v>
      </c>
    </row>
    <row r="6" spans="1:15" x14ac:dyDescent="0.3">
      <c r="A6" s="50" t="s">
        <v>981</v>
      </c>
      <c r="B6" s="47">
        <v>5</v>
      </c>
      <c r="C6" s="34" t="s">
        <v>458</v>
      </c>
      <c r="D6" s="59">
        <v>697499.99999999977</v>
      </c>
      <c r="E6" s="59" t="s">
        <v>1030</v>
      </c>
      <c r="F6" s="59">
        <v>488249.99999999983</v>
      </c>
      <c r="G6" s="59">
        <v>697499.99999999977</v>
      </c>
      <c r="H6" s="59">
        <v>906749.99999999977</v>
      </c>
      <c r="I6" s="59">
        <v>0.7</v>
      </c>
      <c r="J6" s="59">
        <v>1.3</v>
      </c>
      <c r="K6" s="47" t="s">
        <v>1256</v>
      </c>
      <c r="L6" s="47" t="s">
        <v>1287</v>
      </c>
      <c r="M6" s="47" t="s">
        <v>1294</v>
      </c>
      <c r="N6" s="34" t="s">
        <v>1289</v>
      </c>
      <c r="O6" s="39" t="s">
        <v>1290</v>
      </c>
    </row>
    <row r="7" spans="1:15" x14ac:dyDescent="0.3">
      <c r="A7" s="50" t="s">
        <v>981</v>
      </c>
      <c r="B7" s="47">
        <v>6</v>
      </c>
      <c r="C7" s="34" t="s">
        <v>459</v>
      </c>
      <c r="D7" s="59">
        <v>1412000</v>
      </c>
      <c r="E7" s="59" t="s">
        <v>1030</v>
      </c>
      <c r="F7" s="59">
        <v>988399.99999999988</v>
      </c>
      <c r="G7" s="59">
        <v>1412000</v>
      </c>
      <c r="H7" s="59">
        <v>1835600</v>
      </c>
      <c r="I7" s="59">
        <v>0.7</v>
      </c>
      <c r="J7" s="59">
        <v>1.3</v>
      </c>
      <c r="K7" s="47" t="s">
        <v>1256</v>
      </c>
      <c r="L7" s="47" t="s">
        <v>1287</v>
      </c>
      <c r="M7" s="47" t="s">
        <v>1295</v>
      </c>
      <c r="N7" s="34" t="s">
        <v>1289</v>
      </c>
      <c r="O7" s="39" t="s">
        <v>1290</v>
      </c>
    </row>
    <row r="8" spans="1:15" x14ac:dyDescent="0.3">
      <c r="A8" s="50" t="s">
        <v>981</v>
      </c>
      <c r="B8" s="47">
        <v>7</v>
      </c>
      <c r="C8" s="34" t="s">
        <v>562</v>
      </c>
      <c r="D8" s="59">
        <v>5958170000</v>
      </c>
      <c r="E8" s="59" t="s">
        <v>1030</v>
      </c>
      <c r="F8" s="59">
        <v>4170718999.9999995</v>
      </c>
      <c r="G8" s="59">
        <v>5958170000</v>
      </c>
      <c r="H8" s="59">
        <v>7745621000</v>
      </c>
      <c r="I8" s="59">
        <v>0.7</v>
      </c>
      <c r="J8" s="59">
        <v>1.3</v>
      </c>
      <c r="K8" s="47" t="s">
        <v>1256</v>
      </c>
      <c r="L8" s="47" t="s">
        <v>1287</v>
      </c>
      <c r="M8" s="47" t="s">
        <v>1296</v>
      </c>
      <c r="N8" s="34" t="s">
        <v>1289</v>
      </c>
      <c r="O8" s="39" t="s">
        <v>1290</v>
      </c>
    </row>
    <row r="9" spans="1:15" x14ac:dyDescent="0.3">
      <c r="A9" s="50" t="s">
        <v>981</v>
      </c>
      <c r="B9" s="47">
        <v>8</v>
      </c>
      <c r="C9" s="34" t="s">
        <v>567</v>
      </c>
      <c r="D9" s="59">
        <v>26002400.000000004</v>
      </c>
      <c r="E9" s="59" t="s">
        <v>1030</v>
      </c>
      <c r="F9" s="59">
        <v>18201680</v>
      </c>
      <c r="G9" s="59">
        <v>26002400.000000004</v>
      </c>
      <c r="H9" s="59">
        <v>33803120.000000007</v>
      </c>
      <c r="I9" s="59">
        <v>0.7</v>
      </c>
      <c r="J9" s="59">
        <v>1.3</v>
      </c>
      <c r="K9" s="47" t="s">
        <v>1256</v>
      </c>
      <c r="L9" s="47" t="s">
        <v>1287</v>
      </c>
      <c r="M9" s="47" t="s">
        <v>1297</v>
      </c>
      <c r="N9" s="34" t="s">
        <v>1289</v>
      </c>
      <c r="O9" s="39" t="s">
        <v>1290</v>
      </c>
    </row>
    <row r="10" spans="1:15" x14ac:dyDescent="0.3">
      <c r="A10" s="50" t="s">
        <v>981</v>
      </c>
      <c r="B10" s="47">
        <v>9</v>
      </c>
      <c r="C10" s="34" t="s">
        <v>636</v>
      </c>
      <c r="D10" s="59">
        <v>190000</v>
      </c>
      <c r="E10" s="59" t="s">
        <v>1030</v>
      </c>
      <c r="F10" s="59">
        <v>133000</v>
      </c>
      <c r="G10" s="59">
        <v>190000</v>
      </c>
      <c r="H10" s="59">
        <v>247000</v>
      </c>
      <c r="I10" s="59">
        <v>0.7</v>
      </c>
      <c r="J10" s="59">
        <v>1.3</v>
      </c>
      <c r="K10" s="47" t="s">
        <v>1256</v>
      </c>
      <c r="L10" s="47" t="s">
        <v>1287</v>
      </c>
      <c r="M10" s="47" t="s">
        <v>1298</v>
      </c>
      <c r="N10" s="34" t="s">
        <v>1289</v>
      </c>
      <c r="O10" s="39" t="s">
        <v>1290</v>
      </c>
    </row>
    <row r="11" spans="1:15" x14ac:dyDescent="0.3">
      <c r="A11" s="50" t="s">
        <v>981</v>
      </c>
      <c r="B11" s="47">
        <v>10</v>
      </c>
      <c r="C11" s="34" t="s">
        <v>838</v>
      </c>
      <c r="D11" s="59">
        <v>370000</v>
      </c>
      <c r="E11" s="59" t="s">
        <v>1030</v>
      </c>
      <c r="F11" s="59">
        <v>258999.99999999997</v>
      </c>
      <c r="G11" s="59">
        <v>370000</v>
      </c>
      <c r="H11" s="59">
        <v>481000</v>
      </c>
      <c r="I11" s="59">
        <v>0.7</v>
      </c>
      <c r="J11" s="59">
        <v>1.3</v>
      </c>
      <c r="K11" s="47" t="s">
        <v>1256</v>
      </c>
      <c r="L11" s="47" t="s">
        <v>1287</v>
      </c>
      <c r="M11" s="47" t="s">
        <v>1299</v>
      </c>
      <c r="N11" s="34" t="s">
        <v>1289</v>
      </c>
      <c r="O11" s="39" t="s">
        <v>1290</v>
      </c>
    </row>
    <row r="12" spans="1:15" x14ac:dyDescent="0.3">
      <c r="A12" s="51" t="s">
        <v>981</v>
      </c>
      <c r="B12" s="52">
        <v>11</v>
      </c>
      <c r="C12" s="41" t="s">
        <v>843</v>
      </c>
      <c r="D12" s="60">
        <v>4750000</v>
      </c>
      <c r="E12" s="60" t="s">
        <v>1030</v>
      </c>
      <c r="F12" s="60">
        <v>3325000</v>
      </c>
      <c r="G12" s="60">
        <v>4750000</v>
      </c>
      <c r="H12" s="60">
        <v>6175000</v>
      </c>
      <c r="I12" s="60">
        <v>0.7</v>
      </c>
      <c r="J12" s="60">
        <v>1.3</v>
      </c>
      <c r="K12" s="52" t="s">
        <v>1256</v>
      </c>
      <c r="L12" s="52" t="s">
        <v>1287</v>
      </c>
      <c r="M12" s="52" t="s">
        <v>1300</v>
      </c>
      <c r="N12" s="41" t="s">
        <v>1289</v>
      </c>
      <c r="O12" s="42" t="s">
        <v>1290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/>
  </sheetViews>
  <sheetFormatPr defaultRowHeight="14.4" x14ac:dyDescent="0.3"/>
  <cols>
    <col min="1" max="1" width="25" customWidth="1"/>
    <col min="2" max="2" width="68" customWidth="1"/>
    <col min="3" max="3" width="23" customWidth="1"/>
    <col min="4" max="4" width="44" customWidth="1"/>
    <col min="5" max="5" width="38" customWidth="1"/>
  </cols>
  <sheetData>
    <row r="1" spans="1:5" ht="22.35" customHeight="1" x14ac:dyDescent="0.3">
      <c r="A1" s="35" t="s">
        <v>1301</v>
      </c>
      <c r="B1" s="36"/>
      <c r="C1" s="36"/>
      <c r="D1" s="36"/>
      <c r="E1" s="37"/>
    </row>
    <row r="2" spans="1:5" x14ac:dyDescent="0.3">
      <c r="A2" s="38"/>
      <c r="B2" s="34"/>
      <c r="C2" s="34"/>
      <c r="D2" s="34"/>
      <c r="E2" s="39"/>
    </row>
    <row r="3" spans="1:5" x14ac:dyDescent="0.3">
      <c r="A3" s="43" t="s">
        <v>1302</v>
      </c>
      <c r="B3" s="44" t="s">
        <v>1303</v>
      </c>
      <c r="C3" s="44" t="s">
        <v>1304</v>
      </c>
      <c r="D3" s="44" t="s">
        <v>921</v>
      </c>
      <c r="E3" s="45" t="s">
        <v>1305</v>
      </c>
    </row>
    <row r="4" spans="1:5" ht="28.8" x14ac:dyDescent="0.3">
      <c r="A4" s="38" t="s">
        <v>1306</v>
      </c>
      <c r="B4" s="34" t="s">
        <v>1307</v>
      </c>
      <c r="C4" s="34" t="s">
        <v>981</v>
      </c>
      <c r="D4" s="34" t="s">
        <v>1308</v>
      </c>
      <c r="E4" s="39" t="s">
        <v>1309</v>
      </c>
    </row>
    <row r="5" spans="1:5" ht="28.8" x14ac:dyDescent="0.3">
      <c r="A5" s="38" t="s">
        <v>1310</v>
      </c>
      <c r="B5" s="34" t="s">
        <v>1311</v>
      </c>
      <c r="C5" s="34" t="s">
        <v>981</v>
      </c>
      <c r="D5" s="34" t="s">
        <v>1312</v>
      </c>
      <c r="E5" s="39" t="s">
        <v>1313</v>
      </c>
    </row>
    <row r="6" spans="1:5" x14ac:dyDescent="0.3">
      <c r="A6" s="38" t="s">
        <v>1314</v>
      </c>
      <c r="B6" s="34" t="s">
        <v>1315</v>
      </c>
      <c r="C6" s="34" t="s">
        <v>981</v>
      </c>
      <c r="D6" s="34" t="s">
        <v>1316</v>
      </c>
      <c r="E6" s="39" t="s">
        <v>1313</v>
      </c>
    </row>
    <row r="7" spans="1:5" ht="28.8" x14ac:dyDescent="0.3">
      <c r="A7" s="38" t="s">
        <v>1317</v>
      </c>
      <c r="B7" s="34" t="s">
        <v>1318</v>
      </c>
      <c r="C7" s="34" t="s">
        <v>1319</v>
      </c>
      <c r="D7" s="34" t="s">
        <v>1320</v>
      </c>
      <c r="E7" s="39" t="s">
        <v>1321</v>
      </c>
    </row>
    <row r="8" spans="1:5" ht="28.8" x14ac:dyDescent="0.3">
      <c r="A8" s="40" t="s">
        <v>1322</v>
      </c>
      <c r="B8" s="41" t="s">
        <v>1323</v>
      </c>
      <c r="C8" s="41" t="s">
        <v>1324</v>
      </c>
      <c r="D8" s="41" t="s">
        <v>1325</v>
      </c>
      <c r="E8" s="42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eta</vt:lpstr>
      <vt:lpstr>yield</vt:lpstr>
      <vt:lpstr>FL</vt:lpstr>
      <vt:lpstr>CH</vt:lpstr>
      <vt:lpstr>profit</vt:lpstr>
      <vt:lpstr>GWP</vt:lpstr>
      <vt:lpstr>README_MC</vt:lpstr>
      <vt:lpstr>MC_Settings</vt:lpstr>
      <vt:lpstr>MC_eta</vt:lpstr>
      <vt:lpstr>MC_FL</vt:lpstr>
      <vt:lpstr>MC_GWP</vt:lpstr>
      <vt:lpstr>MC_profit</vt:lpstr>
      <vt:lpstr>MC_Output_schema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Yujun</cp:lastModifiedBy>
  <dcterms:created xsi:type="dcterms:W3CDTF">2026-08-04T10:37:39Z</dcterms:created>
  <dcterms:modified xsi:type="dcterms:W3CDTF">2026-08-04T14:59:23Z</dcterms:modified>
</cp:coreProperties>
</file>