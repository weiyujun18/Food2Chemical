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5823861F-7366-4B10-8E31-1D5DB3780E33}" xr6:coauthVersionLast="47" xr6:coauthVersionMax="47" xr10:uidLastSave="{00000000-0000-0000-0000-000000000000}"/>
  <bookViews>
    <workbookView xWindow="36285" yWindow="5055" windowWidth="18990" windowHeight="9120" activeTab="2" xr2:uid="{00000000-000D-0000-FFFF-FFFF00000000}"/>
  </bookViews>
  <sheets>
    <sheet name="CN_yield" sheetId="9" r:id="rId1"/>
    <sheet name="CN_Env_O" sheetId="1" r:id="rId2"/>
    <sheet name="CN_Env_color" sheetId="11" r:id="rId3"/>
    <sheet name="CN_Env_size" sheetId="10" r:id="rId4"/>
    <sheet name="CN_Eco_color" sheetId="2" r:id="rId5"/>
    <sheet name="CN_Eco_size" sheetId="12" r:id="rId6"/>
    <sheet name="US_yield" sheetId="13" r:id="rId7"/>
    <sheet name="US_Eco_color" sheetId="14" r:id="rId8"/>
    <sheet name="US_Eco_size" sheetId="15" r:id="rId9"/>
    <sheet name="US_Env_color" sheetId="16" r:id="rId10"/>
    <sheet name="US_Env_size" sheetId="17" r:id="rId11"/>
    <sheet name="EU_yield" sheetId="18" r:id="rId12"/>
    <sheet name="EU_Eco_color" sheetId="19" r:id="rId13"/>
    <sheet name="EU_Eco_size" sheetId="20" r:id="rId14"/>
    <sheet name="EU_Env_color" sheetId="21" r:id="rId15"/>
    <sheet name="EU_Env_size" sheetId="2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/>
  <c r="L28" i="1"/>
  <c r="B29" i="1"/>
  <c r="C29" i="1"/>
  <c r="D29" i="1"/>
  <c r="E29" i="1"/>
  <c r="F29" i="1"/>
  <c r="G29" i="1"/>
  <c r="H29" i="1"/>
  <c r="I29" i="1"/>
  <c r="J29" i="1"/>
  <c r="K29" i="1"/>
  <c r="L29" i="1"/>
  <c r="B30" i="1"/>
  <c r="C30" i="1"/>
  <c r="D30" i="1"/>
  <c r="E30" i="1"/>
  <c r="F30" i="1"/>
  <c r="G30" i="1"/>
  <c r="H30" i="1"/>
  <c r="I30" i="1"/>
  <c r="J30" i="1"/>
  <c r="K30" i="1"/>
  <c r="L30" i="1"/>
  <c r="B31" i="1"/>
  <c r="C31" i="1"/>
  <c r="D31" i="1"/>
  <c r="E31" i="1"/>
  <c r="F31" i="1"/>
  <c r="G31" i="1"/>
  <c r="H31" i="1"/>
  <c r="I31" i="1"/>
  <c r="J31" i="1"/>
  <c r="K31" i="1"/>
  <c r="L31" i="1"/>
  <c r="B32" i="1"/>
  <c r="C32" i="1"/>
  <c r="D32" i="1"/>
  <c r="E32" i="1"/>
  <c r="F32" i="1"/>
  <c r="G32" i="1"/>
  <c r="H32" i="1"/>
  <c r="I32" i="1"/>
  <c r="J32" i="1"/>
  <c r="K32" i="1"/>
  <c r="L32" i="1"/>
  <c r="B33" i="1"/>
  <c r="C33" i="1"/>
  <c r="D33" i="1"/>
  <c r="E33" i="1"/>
  <c r="F33" i="1"/>
  <c r="G33" i="1"/>
  <c r="H33" i="1"/>
  <c r="I33" i="1"/>
  <c r="J33" i="1"/>
  <c r="K33" i="1"/>
  <c r="L33" i="1"/>
  <c r="B34" i="1"/>
  <c r="C34" i="1"/>
  <c r="D34" i="1"/>
  <c r="E34" i="1"/>
  <c r="F34" i="1"/>
  <c r="G34" i="1"/>
  <c r="H34" i="1"/>
  <c r="I34" i="1"/>
  <c r="J34" i="1"/>
  <c r="K34" i="1"/>
  <c r="L34" i="1"/>
  <c r="B35" i="1"/>
  <c r="C35" i="1"/>
  <c r="D35" i="1"/>
  <c r="E35" i="1"/>
  <c r="F35" i="1"/>
  <c r="G35" i="1"/>
  <c r="H35" i="1"/>
  <c r="I35" i="1"/>
  <c r="J35" i="1"/>
  <c r="K35" i="1"/>
  <c r="L35" i="1"/>
  <c r="B36" i="1"/>
  <c r="C36" i="1"/>
  <c r="D36" i="1"/>
  <c r="E36" i="1"/>
  <c r="F36" i="1"/>
  <c r="G36" i="1"/>
  <c r="H36" i="1"/>
  <c r="I36" i="1"/>
  <c r="J36" i="1"/>
  <c r="K36" i="1"/>
  <c r="L36" i="1"/>
  <c r="B37" i="1"/>
  <c r="C37" i="1"/>
  <c r="D37" i="1"/>
  <c r="E37" i="1"/>
  <c r="F37" i="1"/>
  <c r="G37" i="1"/>
  <c r="H37" i="1"/>
  <c r="I37" i="1"/>
  <c r="J37" i="1"/>
  <c r="K37" i="1"/>
  <c r="L37" i="1"/>
  <c r="B38" i="1"/>
  <c r="C38" i="1"/>
  <c r="D38" i="1"/>
  <c r="E38" i="1"/>
  <c r="F38" i="1"/>
  <c r="G38" i="1"/>
  <c r="H38" i="1"/>
  <c r="I38" i="1"/>
  <c r="J38" i="1"/>
  <c r="K38" i="1"/>
  <c r="L38" i="1"/>
  <c r="B39" i="1"/>
  <c r="C39" i="1"/>
  <c r="D39" i="1"/>
  <c r="E39" i="1"/>
  <c r="F39" i="1"/>
  <c r="G39" i="1"/>
  <c r="H39" i="1"/>
  <c r="I39" i="1"/>
  <c r="J39" i="1"/>
  <c r="K39" i="1"/>
  <c r="L39" i="1"/>
  <c r="B40" i="1"/>
  <c r="C40" i="1"/>
  <c r="D40" i="1"/>
  <c r="E40" i="1"/>
  <c r="F40" i="1"/>
  <c r="G40" i="1"/>
  <c r="H40" i="1"/>
  <c r="I40" i="1"/>
  <c r="J40" i="1"/>
  <c r="K40" i="1"/>
  <c r="L40" i="1"/>
  <c r="B41" i="1"/>
  <c r="C41" i="1"/>
  <c r="D41" i="1"/>
  <c r="E41" i="1"/>
  <c r="F41" i="1"/>
  <c r="G41" i="1"/>
  <c r="H41" i="1"/>
  <c r="I41" i="1"/>
  <c r="J41" i="1"/>
  <c r="K41" i="1"/>
  <c r="L41" i="1"/>
  <c r="B42" i="1"/>
  <c r="C42" i="1"/>
  <c r="D42" i="1"/>
  <c r="E42" i="1"/>
  <c r="F42" i="1"/>
  <c r="G42" i="1"/>
  <c r="H42" i="1"/>
  <c r="I42" i="1"/>
  <c r="J42" i="1"/>
  <c r="K42" i="1"/>
  <c r="L42" i="1"/>
  <c r="B43" i="1"/>
  <c r="C43" i="1"/>
  <c r="D43" i="1"/>
  <c r="E43" i="1"/>
  <c r="F43" i="1"/>
  <c r="G43" i="1"/>
  <c r="H43" i="1"/>
  <c r="I43" i="1"/>
  <c r="J43" i="1"/>
  <c r="K43" i="1"/>
  <c r="L43" i="1"/>
  <c r="B44" i="1"/>
  <c r="C44" i="1"/>
  <c r="D44" i="1"/>
  <c r="E44" i="1"/>
  <c r="F44" i="1"/>
  <c r="G44" i="1"/>
  <c r="H44" i="1"/>
  <c r="I44" i="1"/>
  <c r="J44" i="1"/>
  <c r="K44" i="1"/>
  <c r="L44" i="1"/>
  <c r="B45" i="1"/>
  <c r="C45" i="1"/>
  <c r="D45" i="1"/>
  <c r="E45" i="1"/>
  <c r="F45" i="1"/>
  <c r="G45" i="1"/>
  <c r="H45" i="1"/>
  <c r="I45" i="1"/>
  <c r="J45" i="1"/>
  <c r="K45" i="1"/>
  <c r="L45" i="1"/>
  <c r="B46" i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B48" i="1"/>
  <c r="C48" i="1"/>
  <c r="D48" i="1"/>
  <c r="E48" i="1"/>
  <c r="F48" i="1"/>
  <c r="G48" i="1"/>
  <c r="H48" i="1"/>
  <c r="I48" i="1"/>
  <c r="J48" i="1"/>
  <c r="K48" i="1"/>
  <c r="L48" i="1"/>
  <c r="C27" i="1"/>
  <c r="D27" i="1"/>
  <c r="E27" i="1"/>
  <c r="F27" i="1"/>
  <c r="G27" i="1"/>
  <c r="H27" i="1"/>
  <c r="I27" i="1"/>
  <c r="J27" i="1"/>
  <c r="K27" i="1"/>
  <c r="L27" i="1"/>
  <c r="B27" i="1"/>
</calcChain>
</file>

<file path=xl/sharedStrings.xml><?xml version="1.0" encoding="utf-8"?>
<sst xmlns="http://schemas.openxmlformats.org/spreadsheetml/2006/main" count="515" uniqueCount="54">
  <si>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</si>
  <si>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</si>
  <si>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</si>
  <si>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</si>
  <si>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</si>
  <si>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</si>
  <si>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</si>
  <si>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</si>
  <si>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</si>
  <si>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</si>
  <si>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</si>
  <si>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corn</t>
  </si>
  <si>
    <t>rice grain</t>
  </si>
  <si>
    <t>rice hull</t>
  </si>
  <si>
    <t>rice bran</t>
  </si>
  <si>
    <t>whole wheat</t>
  </si>
  <si>
    <t>wheat bran</t>
  </si>
  <si>
    <t>wheat germ</t>
  </si>
  <si>
    <t>sugarcane</t>
  </si>
  <si>
    <t>sugarcane bagasse</t>
  </si>
  <si>
    <t>sugarcane molasses</t>
  </si>
  <si>
    <t>potato</t>
  </si>
  <si>
    <t>potato pulp</t>
  </si>
  <si>
    <t>tomato</t>
  </si>
  <si>
    <t>tomato pomace</t>
  </si>
  <si>
    <t>sweet potato</t>
  </si>
  <si>
    <t>sweet potato pulp</t>
  </si>
  <si>
    <t>apple</t>
  </si>
  <si>
    <t>apple pomace</t>
  </si>
  <si>
    <t>orange</t>
  </si>
  <si>
    <t>orange peel</t>
  </si>
  <si>
    <t>banana</t>
  </si>
  <si>
    <t>banana peel</t>
  </si>
  <si>
    <t>size</t>
  </si>
  <si>
    <t>whole  wheat</t>
  </si>
  <si>
    <t xml:space="preserve">wheat bran </t>
  </si>
  <si>
    <t>whole potato</t>
  </si>
  <si>
    <t>sugar beet</t>
  </si>
  <si>
    <t>sugar beet pulp</t>
  </si>
  <si>
    <t xml:space="preserve">sugar beet molasses </t>
  </si>
  <si>
    <t xml:space="preserve">corn germ </t>
  </si>
  <si>
    <t>corn pericarp</t>
  </si>
  <si>
    <t>whole barley</t>
  </si>
  <si>
    <t>spent grains</t>
  </si>
  <si>
    <t>rapeseed</t>
  </si>
  <si>
    <t>rapeseed meal</t>
  </si>
  <si>
    <t>whole tomato</t>
  </si>
  <si>
    <t>sugar beet molasses</t>
  </si>
  <si>
    <t>tomato Pomace</t>
  </si>
  <si>
    <t>FL or byproducts \platform chemicals</t>
  </si>
  <si>
    <t>color data</t>
  </si>
  <si>
    <t>size data</t>
  </si>
  <si>
    <t>log: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</si>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</sst>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7873-F92A-4A36-852F-DB2F4122037A}">
  <dimension ref="A1:L23"/>
  <sheetViews>
    <sheetView zoomScaleNormal="100" workbookViewId="0">
      <selection activeCell="A2" sqref="A2:A23"/>
    </sheetView>
  </sheetViews>
  <sheetFormatPr defaultRowHeight="14.4" x14ac:dyDescent="0.3"/>
  <cols>
    <col min="1" max="1" width="36.88671875" bestFit="1" customWidth="1"/>
    <col min="2" max="6" width="12.6640625" bestFit="1" customWidth="1"/>
    <col min="7" max="7" width="14.5546875" bestFit="1" customWidth="1"/>
    <col min="8" max="8" width="12.6640625" bestFit="1" customWidth="1"/>
    <col min="9" max="9" width="15.44140625" bestFit="1" customWidth="1"/>
    <col min="10" max="12" width="12.6640625" bestFit="1" customWidth="1"/>
  </cols>
  <sheetData>
    <row r="1" spans="1:12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0.27607174320707073</v>
      </c>
      <c r="C2">
        <v>5.4253630107629611E-2</v>
      </c>
      <c r="D2">
        <v>5.666316904668911E-2</v>
      </c>
      <c r="E2">
        <v>5.2499999999999998E-2</v>
      </c>
      <c r="F2">
        <v>2.0425499999999999E-2</v>
      </c>
      <c r="G2">
        <v>0.26043281214839853</v>
      </c>
      <c r="H2">
        <v>0.11914305514403292</v>
      </c>
      <c r="I2">
        <v>0.24195604807903462</v>
      </c>
      <c r="J2">
        <v>0.64413095238095242</v>
      </c>
      <c r="K2">
        <v>0.41900928561266981</v>
      </c>
      <c r="L2">
        <v>3.2671322433221101E-2</v>
      </c>
    </row>
    <row r="3" spans="1:12" x14ac:dyDescent="0.3">
      <c r="A3" t="s">
        <v>12</v>
      </c>
      <c r="B3">
        <v>0.40391841102724513</v>
      </c>
      <c r="C3">
        <v>0</v>
      </c>
      <c r="D3">
        <v>0.19816777777777783</v>
      </c>
      <c r="E3">
        <v>0.35836000000000001</v>
      </c>
      <c r="F3">
        <v>7.0266666666666672E-2</v>
      </c>
      <c r="G3">
        <v>0.27575238095238108</v>
      </c>
      <c r="H3">
        <v>9.7753333333333331E-2</v>
      </c>
      <c r="I3">
        <v>0.21536044444444444</v>
      </c>
      <c r="J3">
        <v>0.31413333333333332</v>
      </c>
      <c r="K3">
        <v>0.39786548148148149</v>
      </c>
      <c r="L3">
        <v>0</v>
      </c>
    </row>
    <row r="4" spans="1:12" x14ac:dyDescent="0.3">
      <c r="A4" t="s">
        <v>13</v>
      </c>
      <c r="B4">
        <v>0.20742576935916665</v>
      </c>
      <c r="C4">
        <v>7.6744751199999989E-2</v>
      </c>
      <c r="D4">
        <v>0.13507540355555553</v>
      </c>
      <c r="E4">
        <v>0.15209139595151513</v>
      </c>
      <c r="F4">
        <v>2.9821842343434345E-2</v>
      </c>
      <c r="G4">
        <v>0.125</v>
      </c>
      <c r="H4">
        <v>0.125</v>
      </c>
      <c r="I4">
        <v>0.10671759463944629</v>
      </c>
      <c r="J4">
        <v>0.2479313245866667</v>
      </c>
      <c r="K4">
        <v>0.16885789842460155</v>
      </c>
      <c r="L4">
        <v>6.0687279545454546E-2</v>
      </c>
    </row>
    <row r="5" spans="1:12" x14ac:dyDescent="0.3">
      <c r="A5" t="s">
        <v>14</v>
      </c>
      <c r="B5">
        <v>7.0427046509607377E-2</v>
      </c>
      <c r="C5">
        <v>2.450664E-2</v>
      </c>
      <c r="D5">
        <v>6.9356708187134519E-2</v>
      </c>
      <c r="E5">
        <v>8.5903237140350877E-2</v>
      </c>
      <c r="F5">
        <v>1.4103729883040934E-2</v>
      </c>
      <c r="G5">
        <v>8.8600316747645638E-2</v>
      </c>
      <c r="H5">
        <v>1.9620777160818711E-2</v>
      </c>
      <c r="I5">
        <v>5.1624509793957121E-2</v>
      </c>
      <c r="J5">
        <v>0.14128486077141517</v>
      </c>
      <c r="K5">
        <v>9.5373180058219625E-2</v>
      </c>
      <c r="L5">
        <v>1.6387090831611575E-2</v>
      </c>
    </row>
    <row r="6" spans="1:12" x14ac:dyDescent="0.3">
      <c r="A6" t="s">
        <v>15</v>
      </c>
      <c r="B6">
        <v>0.33087648399945879</v>
      </c>
      <c r="C6">
        <v>1.4750590909090908E-2</v>
      </c>
      <c r="D6">
        <v>0.24771833333333332</v>
      </c>
      <c r="E6">
        <v>0.30681684999999992</v>
      </c>
      <c r="F6">
        <v>6.016016666666666E-2</v>
      </c>
      <c r="G6">
        <v>0.36914938406926401</v>
      </c>
      <c r="H6">
        <v>8.3693408333333316E-2</v>
      </c>
      <c r="I6">
        <v>0.20216666666666666</v>
      </c>
      <c r="J6">
        <v>0.46233619117153679</v>
      </c>
      <c r="K6">
        <v>0.34064023259259252</v>
      </c>
      <c r="L6">
        <v>9.8562241735537202E-3</v>
      </c>
    </row>
    <row r="7" spans="1:12" x14ac:dyDescent="0.3">
      <c r="A7" t="s">
        <v>16</v>
      </c>
      <c r="B7">
        <v>0.16803900115226336</v>
      </c>
      <c r="C7">
        <v>5.5630799999999994E-2</v>
      </c>
      <c r="D7">
        <v>0.12192444444444446</v>
      </c>
      <c r="E7">
        <v>0.15101213333333335</v>
      </c>
      <c r="F7">
        <v>2.9610222222222225E-2</v>
      </c>
      <c r="G7">
        <v>0.19028922222222225</v>
      </c>
      <c r="H7">
        <v>4.1193044444444445E-2</v>
      </c>
      <c r="I7">
        <v>9.0752428148148157E-2</v>
      </c>
      <c r="J7">
        <v>0.30278429629629627</v>
      </c>
      <c r="K7">
        <v>0.16765965827160495</v>
      </c>
      <c r="L7">
        <v>6.9870101010101007E-2</v>
      </c>
    </row>
    <row r="8" spans="1:12" x14ac:dyDescent="0.3">
      <c r="A8" t="s">
        <v>17</v>
      </c>
      <c r="B8">
        <v>0.10688887000000001</v>
      </c>
      <c r="C8">
        <v>0</v>
      </c>
      <c r="D8">
        <v>0.14630000000000001</v>
      </c>
      <c r="E8">
        <v>0.181203</v>
      </c>
      <c r="F8">
        <v>3.5529999999999999E-2</v>
      </c>
      <c r="G8">
        <v>0.16723788888888888</v>
      </c>
      <c r="H8">
        <v>4.9428499999999993E-2</v>
      </c>
      <c r="I8">
        <v>0.10889596666666666</v>
      </c>
      <c r="J8">
        <v>0.15884000000000001</v>
      </c>
      <c r="K8">
        <v>0.20117875555555553</v>
      </c>
      <c r="L8">
        <v>0</v>
      </c>
    </row>
    <row r="9" spans="1:12" x14ac:dyDescent="0.3">
      <c r="A9" t="s">
        <v>18</v>
      </c>
      <c r="B9">
        <v>7.5810082705287524E-2</v>
      </c>
      <c r="C9">
        <v>4.99E-2</v>
      </c>
      <c r="D9">
        <v>0.70700000000000007</v>
      </c>
      <c r="E9">
        <v>0.12532484999999999</v>
      </c>
      <c r="F9">
        <v>1.8402499999999999E-2</v>
      </c>
      <c r="G9">
        <v>0.1598649690302508</v>
      </c>
      <c r="H9">
        <v>2.3470640612865495E-2</v>
      </c>
      <c r="I9">
        <v>7.0623067668849904E-2</v>
      </c>
      <c r="J9">
        <v>0.2640288411974992</v>
      </c>
      <c r="K9">
        <v>0.13047187423043535</v>
      </c>
      <c r="L9">
        <v>2.060117827815091E-2</v>
      </c>
    </row>
    <row r="10" spans="1:12" x14ac:dyDescent="0.3">
      <c r="A10" t="s">
        <v>19</v>
      </c>
      <c r="B10">
        <v>0.23524062044571417</v>
      </c>
      <c r="C10">
        <v>0.16178928372284068</v>
      </c>
      <c r="D10">
        <v>0.12507412800000001</v>
      </c>
      <c r="E10">
        <v>0.30709140000000001</v>
      </c>
      <c r="F10">
        <v>6.0213999999999997E-2</v>
      </c>
      <c r="G10">
        <v>0.49376094272161619</v>
      </c>
      <c r="H10">
        <v>7.6636805422222218E-2</v>
      </c>
      <c r="I10">
        <v>0.23814440795782277</v>
      </c>
      <c r="J10">
        <v>0.45932744691717176</v>
      </c>
      <c r="K10">
        <v>0.3119191791091358</v>
      </c>
      <c r="L10">
        <v>6.7085654999999994E-2</v>
      </c>
    </row>
    <row r="11" spans="1:12" x14ac:dyDescent="0.3">
      <c r="A11" t="s">
        <v>20</v>
      </c>
      <c r="B11">
        <v>9.8884795063157907E-2</v>
      </c>
      <c r="C11">
        <v>0</v>
      </c>
      <c r="D11">
        <v>0.18117343999999999</v>
      </c>
      <c r="E11">
        <v>0.24124275000000001</v>
      </c>
      <c r="F11">
        <v>2.32645E-2</v>
      </c>
      <c r="G11">
        <v>0.41271798245614033</v>
      </c>
      <c r="H11">
        <v>3.2369381578947358E-2</v>
      </c>
      <c r="I11">
        <v>0.27925</v>
      </c>
      <c r="J11">
        <v>0.49203403157894743</v>
      </c>
      <c r="K11">
        <v>5.9622180451127819E-2</v>
      </c>
      <c r="L11">
        <v>0</v>
      </c>
    </row>
    <row r="12" spans="1:12" x14ac:dyDescent="0.3">
      <c r="A12" t="s">
        <v>21</v>
      </c>
      <c r="B12">
        <v>7.1444493113859669E-2</v>
      </c>
      <c r="C12">
        <v>7.272E-4</v>
      </c>
      <c r="D12">
        <v>0.27500000000000002</v>
      </c>
      <c r="E12">
        <v>6.9317410526315792E-2</v>
      </c>
      <c r="F12">
        <v>1.3269991228070179E-2</v>
      </c>
      <c r="G12">
        <v>0.12489403508771933</v>
      </c>
      <c r="H12">
        <v>1.8460899561403513E-2</v>
      </c>
      <c r="I12">
        <v>4.1657072046783636E-2</v>
      </c>
      <c r="J12">
        <v>0.11537559842105265</v>
      </c>
      <c r="K12">
        <v>7.695893769980508E-2</v>
      </c>
      <c r="L12">
        <v>4.8590909090909099E-4</v>
      </c>
    </row>
    <row r="13" spans="1:12" x14ac:dyDescent="0.3">
      <c r="A13" t="s">
        <v>22</v>
      </c>
      <c r="B13">
        <v>6.3954511388100849E-2</v>
      </c>
      <c r="C13">
        <v>7.5893236363636465E-4</v>
      </c>
      <c r="D13">
        <v>4.1060576355555559E-2</v>
      </c>
      <c r="E13">
        <v>5.0856456714666667E-2</v>
      </c>
      <c r="F13">
        <v>9.9718542577777788E-3</v>
      </c>
      <c r="G13">
        <v>3.9829497725137088E-2</v>
      </c>
      <c r="H13">
        <v>1.3872609011555556E-2</v>
      </c>
      <c r="I13">
        <v>3.056275566731852E-2</v>
      </c>
      <c r="J13">
        <v>4.5373217965252531E-2</v>
      </c>
      <c r="K13">
        <v>5.6462854775150617E-2</v>
      </c>
      <c r="L13">
        <v>5.0711239669421512E-4</v>
      </c>
    </row>
    <row r="14" spans="1:12" x14ac:dyDescent="0.3">
      <c r="A14" t="s">
        <v>23</v>
      </c>
      <c r="B14">
        <v>2.0514000000000001E-2</v>
      </c>
      <c r="C14">
        <v>1.3816799999999999E-3</v>
      </c>
      <c r="D14">
        <v>6.0200000000000002E-3</v>
      </c>
      <c r="E14">
        <v>1.3741949999999999E-2</v>
      </c>
      <c r="F14">
        <v>1.2409999999999999E-3</v>
      </c>
      <c r="G14">
        <v>1.0923257477132223E-2</v>
      </c>
      <c r="H14">
        <v>1.734949782339181E-3</v>
      </c>
      <c r="I14">
        <v>8.292392425306043E-3</v>
      </c>
      <c r="J14">
        <v>4.2647949473684221E-2</v>
      </c>
      <c r="K14">
        <v>1.5319696769008448E-2</v>
      </c>
      <c r="L14">
        <v>2.2250219008264463E-4</v>
      </c>
    </row>
    <row r="15" spans="1:12" x14ac:dyDescent="0.3">
      <c r="A15" t="s">
        <v>24</v>
      </c>
      <c r="B15">
        <v>5.21E-2</v>
      </c>
      <c r="C15">
        <v>5.4903599999999997E-3</v>
      </c>
      <c r="D15">
        <v>5.8450000000000004E-3</v>
      </c>
      <c r="E15">
        <v>3.411645E-2</v>
      </c>
      <c r="F15">
        <v>5.2785000000000002E-3</v>
      </c>
      <c r="G15">
        <v>3.1300813988095234E-2</v>
      </c>
      <c r="H15">
        <v>7.3423395833333328E-3</v>
      </c>
      <c r="I15">
        <v>2.0513516527777779E-2</v>
      </c>
      <c r="J15">
        <v>1.44712E-2</v>
      </c>
      <c r="K15">
        <v>3.7897489259259259E-2</v>
      </c>
      <c r="L15">
        <v>3.6670951704545459E-3</v>
      </c>
    </row>
    <row r="16" spans="1:12" x14ac:dyDescent="0.3">
      <c r="A16" t="s">
        <v>25</v>
      </c>
      <c r="B16">
        <v>0.10348896218105726</v>
      </c>
      <c r="C16">
        <v>1.0073976303272745E-3</v>
      </c>
      <c r="D16">
        <v>7.4801080917192994E-2</v>
      </c>
      <c r="E16">
        <v>9.2646481650294737E-2</v>
      </c>
      <c r="F16">
        <v>1.6006529425754389E-2</v>
      </c>
      <c r="G16">
        <v>7.221420962547688E-2</v>
      </c>
      <c r="H16">
        <v>2.2267907112887717E-2</v>
      </c>
      <c r="I16">
        <v>5.5676937896030641E-2</v>
      </c>
      <c r="J16">
        <v>0.11124057692238908</v>
      </c>
      <c r="K16">
        <v>0.10285979749235337</v>
      </c>
      <c r="L16">
        <v>6.7313485524793403E-4</v>
      </c>
    </row>
    <row r="17" spans="1:12" x14ac:dyDescent="0.3">
      <c r="A17" t="s">
        <v>26</v>
      </c>
      <c r="B17">
        <v>5.2937323242867658E-2</v>
      </c>
      <c r="C17">
        <v>1.4538063775499999E-3</v>
      </c>
      <c r="D17">
        <v>7.1056481846388894E-2</v>
      </c>
      <c r="E17">
        <v>8.8008528229741659E-2</v>
      </c>
      <c r="F17">
        <v>1.7256574162694445E-2</v>
      </c>
      <c r="G17">
        <v>6.905491871368849E-2</v>
      </c>
      <c r="H17">
        <v>2.4006939938101386E-2</v>
      </c>
      <c r="I17">
        <v>5.2889707987662134E-2</v>
      </c>
      <c r="J17">
        <v>7.8666417035722219E-2</v>
      </c>
      <c r="K17">
        <v>9.7710557703434314E-2</v>
      </c>
      <c r="L17">
        <v>9.7142152815340933E-4</v>
      </c>
    </row>
    <row r="18" spans="1:12" x14ac:dyDescent="0.3">
      <c r="A18" t="s">
        <v>27</v>
      </c>
      <c r="B18">
        <v>5.9757173785318307E-2</v>
      </c>
      <c r="C18">
        <v>1.0907999999999998E-4</v>
      </c>
      <c r="D18">
        <v>4.8803588228070197E-2</v>
      </c>
      <c r="E18">
        <v>6.0446729991052633E-2</v>
      </c>
      <c r="F18">
        <v>3.7902736824561409E-3</v>
      </c>
      <c r="G18">
        <v>4.6597618091854628E-2</v>
      </c>
      <c r="H18">
        <v>5.2729395641228066E-3</v>
      </c>
      <c r="I18">
        <v>3.6326137504426904E-2</v>
      </c>
      <c r="J18">
        <v>6.1321013902463938E-2</v>
      </c>
      <c r="K18">
        <v>6.7110356434510715E-2</v>
      </c>
      <c r="L18">
        <v>6.1771193181818187E-5</v>
      </c>
    </row>
    <row r="19" spans="1:12" x14ac:dyDescent="0.3">
      <c r="A19" t="s">
        <v>28</v>
      </c>
      <c r="B19">
        <v>0.26593833892525254</v>
      </c>
      <c r="C19">
        <v>3.7272635999999998E-2</v>
      </c>
      <c r="D19">
        <v>4.1922500000000001E-2</v>
      </c>
      <c r="E19">
        <v>0.2477019</v>
      </c>
      <c r="F19">
        <v>3.1926000000000003E-2</v>
      </c>
      <c r="G19">
        <v>0.22479712142857144</v>
      </c>
      <c r="H19">
        <v>4.4414700000000001E-2</v>
      </c>
      <c r="I19">
        <v>0.14885922333333335</v>
      </c>
      <c r="J19">
        <v>0.35591860000000003</v>
      </c>
      <c r="K19">
        <v>0.2750084711111111</v>
      </c>
      <c r="L19">
        <v>2.4905270454545454E-2</v>
      </c>
    </row>
    <row r="20" spans="1:12" x14ac:dyDescent="0.3">
      <c r="A20" t="s">
        <v>29</v>
      </c>
      <c r="B20">
        <v>4.9938420911543907E-2</v>
      </c>
      <c r="C20">
        <v>1.03626E-2</v>
      </c>
      <c r="D20">
        <v>3.0766842105263165E-2</v>
      </c>
      <c r="E20">
        <v>3.8106931578947373E-2</v>
      </c>
      <c r="F20">
        <v>3.5914736842105272E-3</v>
      </c>
      <c r="G20">
        <v>3.8829469924812031E-2</v>
      </c>
      <c r="H20">
        <v>4.9963736842105304E-3</v>
      </c>
      <c r="I20">
        <v>2.2900786140350883E-2</v>
      </c>
      <c r="J20">
        <v>4.4234000000000002E-2</v>
      </c>
      <c r="K20">
        <v>4.2307826432748545E-2</v>
      </c>
      <c r="L20">
        <v>6.9242045454545468E-3</v>
      </c>
    </row>
    <row r="21" spans="1:12" x14ac:dyDescent="0.3">
      <c r="A21" t="s">
        <v>30</v>
      </c>
      <c r="B21">
        <v>6.8032373052631531E-2</v>
      </c>
      <c r="C21">
        <v>0</v>
      </c>
      <c r="D21">
        <v>5.5151649122807025E-2</v>
      </c>
      <c r="E21">
        <v>6.8309256842105259E-2</v>
      </c>
      <c r="F21">
        <v>8.9489192982456136E-3</v>
      </c>
      <c r="G21">
        <v>0.12221685722284434</v>
      </c>
      <c r="H21">
        <v>0.122</v>
      </c>
      <c r="I21">
        <v>3.8212467999999999E-2</v>
      </c>
      <c r="J21">
        <v>0.117991707494257</v>
      </c>
      <c r="K21">
        <v>7.5839645504873293E-2</v>
      </c>
      <c r="L21">
        <v>0</v>
      </c>
    </row>
    <row r="22" spans="1:12" x14ac:dyDescent="0.3">
      <c r="A22" t="s">
        <v>31</v>
      </c>
      <c r="B22">
        <v>5.5436494868421081E-2</v>
      </c>
      <c r="C22">
        <v>0</v>
      </c>
      <c r="D22">
        <v>5.7296842105263174E-2</v>
      </c>
      <c r="E22">
        <v>7.0966231578947381E-2</v>
      </c>
      <c r="F22">
        <v>7.2804736842105268E-3</v>
      </c>
      <c r="G22">
        <v>5.4607398496240613E-2</v>
      </c>
      <c r="H22">
        <v>1.0128423684210526E-2</v>
      </c>
      <c r="I22">
        <v>4.2647949473684221E-2</v>
      </c>
      <c r="J22">
        <v>6.2208000000000013E-2</v>
      </c>
      <c r="K22">
        <v>7.8789524210526332E-2</v>
      </c>
      <c r="L22">
        <v>0</v>
      </c>
    </row>
    <row r="23" spans="1:12" x14ac:dyDescent="0.3">
      <c r="A23" t="s">
        <v>32</v>
      </c>
      <c r="B23">
        <v>8.192395712201142E-2</v>
      </c>
      <c r="C23">
        <v>8.6181463636363531E-2</v>
      </c>
      <c r="D23">
        <v>0.25221341055555557</v>
      </c>
      <c r="E23">
        <v>0.11053768333333333</v>
      </c>
      <c r="F23">
        <v>2.1674055555555558E-2</v>
      </c>
      <c r="G23">
        <v>0.16412101767676768</v>
      </c>
      <c r="H23">
        <v>3.0152436111111108E-2</v>
      </c>
      <c r="I23">
        <v>6.6428855370370368E-2</v>
      </c>
      <c r="J23">
        <v>0.39962276823793491</v>
      </c>
      <c r="K23">
        <v>0.12272331901234566</v>
      </c>
      <c r="L23">
        <v>3.59035563016529E-2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"/>
  <sheetViews>
    <sheetView workbookViewId="0">
      <selection sqref="A1:L24"/>
    </sheetView>
  </sheetViews>
  <sheetFormatPr defaultRowHeight="14.4" x14ac:dyDescent="0.3"/>
  <cols>
    <col min="1" max="1" width="18.77734375" customWidth="1"/>
  </cols>
  <sheetData>
    <row r="1" spans="1:12" ht="15" thickBot="1" x14ac:dyDescent="0.35">
      <c r="A1" s="13" t="s">
        <v>50</v>
      </c>
    </row>
    <row r="2" spans="1:12" x14ac:dyDescent="0.3">
      <c r="A2" s="5" t="s">
        <v>49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7" t="s">
        <v>10</v>
      </c>
    </row>
    <row r="3" spans="1:12" x14ac:dyDescent="0.3">
      <c r="A3" s="8" t="s">
        <v>11</v>
      </c>
      <c r="B3" s="9">
        <v>392823.44558967918</v>
      </c>
      <c r="C3" s="9">
        <v>0</v>
      </c>
      <c r="D3" s="9">
        <v>455198.46885136276</v>
      </c>
      <c r="E3" s="9">
        <v>0</v>
      </c>
      <c r="F3" s="9">
        <v>151455.08249999999</v>
      </c>
      <c r="G3" s="9">
        <v>1801752.3242862655</v>
      </c>
      <c r="H3" s="9">
        <v>176398.44172404942</v>
      </c>
      <c r="I3" s="9">
        <v>0</v>
      </c>
      <c r="J3" s="9">
        <v>2443188.7023809524</v>
      </c>
      <c r="K3" s="9">
        <v>768463.02981363633</v>
      </c>
      <c r="L3" s="10">
        <v>58481.667155465759</v>
      </c>
    </row>
    <row r="4" spans="1:12" x14ac:dyDescent="0.3">
      <c r="A4" s="8" t="s">
        <v>12</v>
      </c>
      <c r="B4" s="9">
        <v>574736.91480920417</v>
      </c>
      <c r="C4" s="9">
        <v>0</v>
      </c>
      <c r="D4" s="9">
        <v>1591963.0076777781</v>
      </c>
      <c r="E4" s="9">
        <v>0</v>
      </c>
      <c r="F4" s="9">
        <v>521027.33333333331</v>
      </c>
      <c r="G4" s="9">
        <v>1907737.6971428581</v>
      </c>
      <c r="H4" s="9">
        <v>144729.67520000003</v>
      </c>
      <c r="I4" s="9">
        <v>0</v>
      </c>
      <c r="J4" s="9">
        <v>1191507.7333333332</v>
      </c>
      <c r="K4" s="9">
        <v>729685.2930370369</v>
      </c>
      <c r="L4" s="10">
        <v>0</v>
      </c>
    </row>
    <row r="5" spans="1:12" x14ac:dyDescent="0.3">
      <c r="A5" s="8" t="s">
        <v>13</v>
      </c>
      <c r="B5" s="9">
        <v>295146.85015279404</v>
      </c>
      <c r="C5" s="9">
        <v>0</v>
      </c>
      <c r="D5" s="9">
        <v>1085116.0976772353</v>
      </c>
      <c r="E5" s="9">
        <v>0</v>
      </c>
      <c r="F5" s="9">
        <v>221128.96097656564</v>
      </c>
      <c r="G5" s="9">
        <v>864787.5</v>
      </c>
      <c r="H5" s="9">
        <v>185070.00000000003</v>
      </c>
      <c r="I5" s="9">
        <v>0</v>
      </c>
      <c r="J5" s="9">
        <v>940403.51415722666</v>
      </c>
      <c r="K5" s="9">
        <v>309685.38571071922</v>
      </c>
      <c r="L5" s="10">
        <v>108630.23038636362</v>
      </c>
    </row>
    <row r="6" spans="1:12" x14ac:dyDescent="0.3">
      <c r="A6" s="8" t="s">
        <v>14</v>
      </c>
      <c r="B6" s="9">
        <v>100210.88993471461</v>
      </c>
      <c r="C6" s="9">
        <v>0</v>
      </c>
      <c r="D6" s="9">
        <v>557170.87311760837</v>
      </c>
      <c r="E6" s="9">
        <v>0</v>
      </c>
      <c r="F6" s="9">
        <v>104579.15708274851</v>
      </c>
      <c r="G6" s="9">
        <v>612963.57135523681</v>
      </c>
      <c r="H6" s="9">
        <v>29049.737833221756</v>
      </c>
      <c r="I6" s="9">
        <v>0</v>
      </c>
      <c r="J6" s="9">
        <v>535893.4769059777</v>
      </c>
      <c r="K6" s="9">
        <v>174914.41222677476</v>
      </c>
      <c r="L6" s="10">
        <v>29332.892588584717</v>
      </c>
    </row>
    <row r="7" spans="1:12" x14ac:dyDescent="0.3">
      <c r="A7" s="8" t="s">
        <v>15</v>
      </c>
      <c r="B7" s="9">
        <v>470805.30227164814</v>
      </c>
      <c r="C7" s="9">
        <v>0</v>
      </c>
      <c r="D7" s="9">
        <v>1990022.9361833332</v>
      </c>
      <c r="E7" s="9">
        <v>0</v>
      </c>
      <c r="F7" s="9">
        <v>446087.63583333325</v>
      </c>
      <c r="G7" s="9">
        <v>2553886.1838063891</v>
      </c>
      <c r="H7" s="9">
        <v>123913.11264199999</v>
      </c>
      <c r="I7" s="9">
        <v>0</v>
      </c>
      <c r="J7" s="9">
        <v>1753641.1731136388</v>
      </c>
      <c r="K7" s="9">
        <v>624734.18657481461</v>
      </c>
      <c r="L7" s="10">
        <v>17642.641270661155</v>
      </c>
    </row>
    <row r="8" spans="1:12" x14ac:dyDescent="0.3">
      <c r="A8" s="8" t="s">
        <v>16</v>
      </c>
      <c r="B8" s="9">
        <v>239103.28039827268</v>
      </c>
      <c r="C8" s="9">
        <v>0</v>
      </c>
      <c r="D8" s="9">
        <v>979469.05124444456</v>
      </c>
      <c r="E8" s="9">
        <v>0</v>
      </c>
      <c r="F8" s="9">
        <v>219559.79777777777</v>
      </c>
      <c r="G8" s="9">
        <v>1316477.9261000003</v>
      </c>
      <c r="H8" s="9">
        <v>60988.773882666675</v>
      </c>
      <c r="I8" s="9">
        <v>0</v>
      </c>
      <c r="J8" s="9">
        <v>1148460.8358518516</v>
      </c>
      <c r="K8" s="9">
        <v>307487.81327012344</v>
      </c>
      <c r="L8" s="10">
        <v>125067.48080808079</v>
      </c>
    </row>
    <row r="9" spans="1:12" x14ac:dyDescent="0.3">
      <c r="A9" s="8" t="s">
        <v>17</v>
      </c>
      <c r="B9" s="9">
        <v>152092.54565793567</v>
      </c>
      <c r="C9" s="9">
        <v>0</v>
      </c>
      <c r="D9" s="9">
        <v>1175287.8830000001</v>
      </c>
      <c r="E9" s="9">
        <v>0</v>
      </c>
      <c r="F9" s="9">
        <v>263454.94999999995</v>
      </c>
      <c r="G9" s="9">
        <v>1157001.8866999999</v>
      </c>
      <c r="H9" s="9">
        <v>73181.859960000002</v>
      </c>
      <c r="I9" s="9">
        <v>0</v>
      </c>
      <c r="J9" s="9">
        <v>602480.12</v>
      </c>
      <c r="K9" s="9">
        <v>368961.83768888877</v>
      </c>
      <c r="L9" s="10">
        <v>0</v>
      </c>
    </row>
    <row r="10" spans="1:12" x14ac:dyDescent="0.3">
      <c r="A10" s="8" t="s">
        <v>18</v>
      </c>
      <c r="B10" s="9">
        <v>107870.43089880004</v>
      </c>
      <c r="C10" s="9">
        <v>0</v>
      </c>
      <c r="D10" s="9">
        <v>5679620.870000001</v>
      </c>
      <c r="E10" s="9">
        <v>0</v>
      </c>
      <c r="F10" s="9">
        <v>136454.53749999998</v>
      </c>
      <c r="G10" s="9">
        <v>1105993.8152419841</v>
      </c>
      <c r="H10" s="9">
        <v>34749.691665784143</v>
      </c>
      <c r="I10" s="9">
        <v>0</v>
      </c>
      <c r="J10" s="9">
        <v>1001461.3946621143</v>
      </c>
      <c r="K10" s="9">
        <v>239285.4173386184</v>
      </c>
      <c r="L10" s="10">
        <v>36876.109117890126</v>
      </c>
    </row>
    <row r="11" spans="1:12" x14ac:dyDescent="0.3">
      <c r="A11" s="8" t="s">
        <v>19</v>
      </c>
      <c r="B11" s="9">
        <v>334724.69870568276</v>
      </c>
      <c r="C11" s="9">
        <v>0</v>
      </c>
      <c r="D11" s="9">
        <v>1004771.75061648</v>
      </c>
      <c r="E11" s="9">
        <v>0</v>
      </c>
      <c r="F11" s="9">
        <v>446486.80999999994</v>
      </c>
      <c r="G11" s="9">
        <v>3415986.3300309572</v>
      </c>
      <c r="H11" s="9">
        <v>113465.38863592534</v>
      </c>
      <c r="I11" s="9">
        <v>0</v>
      </c>
      <c r="J11" s="9">
        <v>1742229.0061568322</v>
      </c>
      <c r="K11" s="9">
        <v>572059.77448615502</v>
      </c>
      <c r="L11" s="10">
        <v>120083.32244999998</v>
      </c>
    </row>
    <row r="12" spans="1:12" x14ac:dyDescent="0.3">
      <c r="A12" s="8" t="s">
        <v>20</v>
      </c>
      <c r="B12" s="9">
        <v>140703.51953406332</v>
      </c>
      <c r="C12" s="9">
        <v>0</v>
      </c>
      <c r="D12" s="9">
        <v>1455440.5246303999</v>
      </c>
      <c r="E12" s="9">
        <v>0</v>
      </c>
      <c r="F12" s="9">
        <v>172506.26749999999</v>
      </c>
      <c r="G12" s="9">
        <v>2855306.8180263154</v>
      </c>
      <c r="H12" s="9">
        <v>47924.811590526311</v>
      </c>
      <c r="I12" s="9">
        <v>0</v>
      </c>
      <c r="J12" s="9">
        <v>1866285.0817789473</v>
      </c>
      <c r="K12" s="9">
        <v>109347.07894736841</v>
      </c>
      <c r="L12" s="10">
        <v>0</v>
      </c>
    </row>
    <row r="13" spans="1:12" x14ac:dyDescent="0.3">
      <c r="A13" s="8" t="s">
        <v>21</v>
      </c>
      <c r="B13" s="9">
        <v>101658.61825396575</v>
      </c>
      <c r="C13" s="9">
        <v>0</v>
      </c>
      <c r="D13" s="9">
        <v>2209187.75</v>
      </c>
      <c r="E13" s="9">
        <v>0</v>
      </c>
      <c r="F13" s="9">
        <v>98396.984956140368</v>
      </c>
      <c r="G13" s="9">
        <v>864054.40294736868</v>
      </c>
      <c r="H13" s="9">
        <v>27332.469454631591</v>
      </c>
      <c r="I13" s="9">
        <v>0</v>
      </c>
      <c r="J13" s="9">
        <v>437619.64481105265</v>
      </c>
      <c r="K13" s="9">
        <v>141142.69174144251</v>
      </c>
      <c r="L13" s="10">
        <v>869.77727272727282</v>
      </c>
    </row>
    <row r="14" spans="1:12" x14ac:dyDescent="0.3">
      <c r="A14" s="8" t="s">
        <v>22</v>
      </c>
      <c r="B14" s="9">
        <v>91001.097151889568</v>
      </c>
      <c r="C14" s="9">
        <v>0</v>
      </c>
      <c r="D14" s="9">
        <v>329856.44470048358</v>
      </c>
      <c r="E14" s="9">
        <v>0</v>
      </c>
      <c r="F14" s="9">
        <v>73941.299321422222</v>
      </c>
      <c r="G14" s="9">
        <v>275552.41411181592</v>
      </c>
      <c r="H14" s="9">
        <v>20539.229998148698</v>
      </c>
      <c r="I14" s="9">
        <v>0</v>
      </c>
      <c r="J14" s="9">
        <v>172100.61574220282</v>
      </c>
      <c r="K14" s="9">
        <v>103552.87565762622</v>
      </c>
      <c r="L14" s="10">
        <v>907.73119008264496</v>
      </c>
    </row>
    <row r="15" spans="1:12" x14ac:dyDescent="0.3">
      <c r="A15" s="8" t="s">
        <v>23</v>
      </c>
      <c r="B15" s="9">
        <v>29189.442096514747</v>
      </c>
      <c r="C15" s="9">
        <v>0</v>
      </c>
      <c r="D15" s="9">
        <v>48361.128199999999</v>
      </c>
      <c r="E15" s="9">
        <v>0</v>
      </c>
      <c r="F15" s="9">
        <v>9202.0149999999976</v>
      </c>
      <c r="G15" s="9">
        <v>75570.372204043859</v>
      </c>
      <c r="H15" s="9">
        <v>2568.6972497400984</v>
      </c>
      <c r="I15" s="9">
        <v>0</v>
      </c>
      <c r="J15" s="9">
        <v>161763.67235368423</v>
      </c>
      <c r="K15" s="9">
        <v>28096.323874361489</v>
      </c>
      <c r="L15" s="10">
        <v>398.27892024793385</v>
      </c>
    </row>
    <row r="16" spans="1:12" x14ac:dyDescent="0.3">
      <c r="A16" s="8" t="s">
        <v>24</v>
      </c>
      <c r="B16" s="9">
        <v>74133.271581769441</v>
      </c>
      <c r="C16" s="9">
        <v>0</v>
      </c>
      <c r="D16" s="9">
        <v>46955.281450000002</v>
      </c>
      <c r="E16" s="9">
        <v>0</v>
      </c>
      <c r="F16" s="9">
        <v>39140.077499999999</v>
      </c>
      <c r="G16" s="9">
        <v>216548.42141383927</v>
      </c>
      <c r="H16" s="9">
        <v>10870.774293500001</v>
      </c>
      <c r="I16" s="9">
        <v>0</v>
      </c>
      <c r="J16" s="9">
        <v>54889.261599999991</v>
      </c>
      <c r="K16" s="9">
        <v>69503.995301481467</v>
      </c>
      <c r="L16" s="10">
        <v>6564.1003551136364</v>
      </c>
    </row>
    <row r="17" spans="1:12" x14ac:dyDescent="0.3">
      <c r="A17" s="8" t="s">
        <v>25</v>
      </c>
      <c r="B17" s="9">
        <v>147254.80497281734</v>
      </c>
      <c r="C17" s="9">
        <v>0</v>
      </c>
      <c r="D17" s="9">
        <v>600907.75145098742</v>
      </c>
      <c r="E17" s="9">
        <v>0</v>
      </c>
      <c r="F17" s="9">
        <v>118688.41569196878</v>
      </c>
      <c r="G17" s="9">
        <v>499599.56645193673</v>
      </c>
      <c r="H17" s="9">
        <v>32968.972555057044</v>
      </c>
      <c r="I17" s="9">
        <v>0</v>
      </c>
      <c r="J17" s="9">
        <v>421935.50826662173</v>
      </c>
      <c r="K17" s="9">
        <v>188644.86860097604</v>
      </c>
      <c r="L17" s="10">
        <v>1204.9113908938018</v>
      </c>
    </row>
    <row r="18" spans="1:12" x14ac:dyDescent="0.3">
      <c r="A18" s="8" t="s">
        <v>26</v>
      </c>
      <c r="B18" s="9">
        <v>75324.701742330581</v>
      </c>
      <c r="C18" s="9">
        <v>0</v>
      </c>
      <c r="D18" s="9">
        <v>570825.85182959901</v>
      </c>
      <c r="E18" s="9">
        <v>0</v>
      </c>
      <c r="F18" s="9">
        <v>127957.49741637929</v>
      </c>
      <c r="G18" s="9">
        <v>477742.64413691108</v>
      </c>
      <c r="H18" s="9">
        <v>35543.714994755392</v>
      </c>
      <c r="I18" s="9">
        <v>0</v>
      </c>
      <c r="J18" s="9">
        <v>298381.71981649433</v>
      </c>
      <c r="K18" s="9">
        <v>179201.16282809852</v>
      </c>
      <c r="L18" s="10">
        <v>1738.8445353946024</v>
      </c>
    </row>
    <row r="19" spans="1:12" x14ac:dyDescent="0.3">
      <c r="A19" s="8" t="s">
        <v>27</v>
      </c>
      <c r="B19" s="9">
        <v>85028.690848099723</v>
      </c>
      <c r="C19" s="9">
        <v>0</v>
      </c>
      <c r="D19" s="9">
        <v>392059.23370726139</v>
      </c>
      <c r="E19" s="9">
        <v>0</v>
      </c>
      <c r="F19" s="9">
        <v>28104.879355412282</v>
      </c>
      <c r="G19" s="9">
        <v>322376.30124487786</v>
      </c>
      <c r="H19" s="9">
        <v>7806.9034010576634</v>
      </c>
      <c r="I19" s="9">
        <v>0</v>
      </c>
      <c r="J19" s="9">
        <v>232590.60573204569</v>
      </c>
      <c r="K19" s="9">
        <v>123080.39370089263</v>
      </c>
      <c r="L19" s="10">
        <v>110.57043579545454</v>
      </c>
    </row>
    <row r="20" spans="1:12" x14ac:dyDescent="0.3">
      <c r="A20" s="8" t="s">
        <v>28</v>
      </c>
      <c r="B20" s="9">
        <v>378404.5893195853</v>
      </c>
      <c r="C20" s="9">
        <v>0</v>
      </c>
      <c r="D20" s="9">
        <v>336780.630725</v>
      </c>
      <c r="E20" s="9">
        <v>0</v>
      </c>
      <c r="F20" s="9">
        <v>236731.28999999998</v>
      </c>
      <c r="G20" s="9">
        <v>1555213.9251792859</v>
      </c>
      <c r="H20" s="9">
        <v>65758.628232000017</v>
      </c>
      <c r="I20" s="9">
        <v>0</v>
      </c>
      <c r="J20" s="9">
        <v>1349999.2497999999</v>
      </c>
      <c r="K20" s="9">
        <v>504365.53601777769</v>
      </c>
      <c r="L20" s="10">
        <v>44580.434113636358</v>
      </c>
    </row>
    <row r="21" spans="1:12" x14ac:dyDescent="0.3">
      <c r="A21" s="8" t="s">
        <v>29</v>
      </c>
      <c r="B21" s="9">
        <v>71057.553163151606</v>
      </c>
      <c r="C21" s="9">
        <v>0</v>
      </c>
      <c r="D21" s="9">
        <v>247162.65703684217</v>
      </c>
      <c r="E21" s="9">
        <v>0</v>
      </c>
      <c r="F21" s="9">
        <v>26630.777368421055</v>
      </c>
      <c r="G21" s="9">
        <v>268633.92178082705</v>
      </c>
      <c r="H21" s="9">
        <v>7397.4310218947439</v>
      </c>
      <c r="I21" s="9">
        <v>0</v>
      </c>
      <c r="J21" s="9">
        <v>167779.56199999998</v>
      </c>
      <c r="K21" s="9">
        <v>77592.553677660821</v>
      </c>
      <c r="L21" s="10">
        <v>12394.326136363637</v>
      </c>
    </row>
    <row r="22" spans="1:12" x14ac:dyDescent="0.3">
      <c r="A22" s="8" t="s">
        <v>30</v>
      </c>
      <c r="B22" s="9">
        <v>96803.500726736776</v>
      </c>
      <c r="C22" s="9">
        <v>0</v>
      </c>
      <c r="D22" s="9">
        <v>443055.80957964918</v>
      </c>
      <c r="E22" s="9">
        <v>0</v>
      </c>
      <c r="F22" s="9">
        <v>66356.236596491217</v>
      </c>
      <c r="G22" s="9">
        <v>845532.88332480402</v>
      </c>
      <c r="H22" s="9">
        <v>180628.32000000004</v>
      </c>
      <c r="I22" s="9">
        <v>0</v>
      </c>
      <c r="J22" s="9">
        <v>447542.54652571672</v>
      </c>
      <c r="K22" s="9">
        <v>139089.90985593761</v>
      </c>
      <c r="L22" s="10">
        <v>0</v>
      </c>
    </row>
    <row r="23" spans="1:12" x14ac:dyDescent="0.3">
      <c r="A23" s="8" t="s">
        <v>31</v>
      </c>
      <c r="B23" s="9">
        <v>78880.781758580182</v>
      </c>
      <c r="C23" s="9">
        <v>0</v>
      </c>
      <c r="D23" s="9">
        <v>460289.02433684224</v>
      </c>
      <c r="E23" s="9">
        <v>0</v>
      </c>
      <c r="F23" s="9">
        <v>53984.712368421046</v>
      </c>
      <c r="G23" s="9">
        <v>377790.36501654144</v>
      </c>
      <c r="H23" s="9">
        <v>14995.738969894739</v>
      </c>
      <c r="I23" s="9">
        <v>0</v>
      </c>
      <c r="J23" s="9">
        <v>235954.94400000002</v>
      </c>
      <c r="K23" s="9">
        <v>144499.98740210527</v>
      </c>
      <c r="L23" s="10">
        <v>0</v>
      </c>
    </row>
    <row r="24" spans="1:12" ht="15" thickBot="1" x14ac:dyDescent="0.35">
      <c r="A24" s="11" t="s">
        <v>32</v>
      </c>
      <c r="B24" s="4">
        <v>116569.88411476597</v>
      </c>
      <c r="C24" s="4">
        <v>0</v>
      </c>
      <c r="D24" s="4">
        <v>2026133.7344911057</v>
      </c>
      <c r="E24" s="4">
        <v>0</v>
      </c>
      <c r="F24" s="4">
        <v>160713.12194444443</v>
      </c>
      <c r="G24" s="4">
        <v>1135438.4365931819</v>
      </c>
      <c r="H24" s="4">
        <v>44642.490808666669</v>
      </c>
      <c r="I24" s="4">
        <v>0</v>
      </c>
      <c r="J24" s="4">
        <v>1515769.1599264869</v>
      </c>
      <c r="K24" s="4">
        <v>225074.56706864192</v>
      </c>
      <c r="L24" s="12">
        <v>64267.36577995868</v>
      </c>
    </row>
    <row r="25" spans="1:12" ht="15" thickBot="1" x14ac:dyDescent="0.35">
      <c r="A25" s="13" t="s">
        <v>52</v>
      </c>
      <c r="D25" s="1"/>
      <c r="E25" s="2"/>
    </row>
    <row r="26" spans="1:12" x14ac:dyDescent="0.3">
      <c r="A26" s="5" t="s">
        <v>49</v>
      </c>
      <c r="B26" s="6" t="s">
        <v>0</v>
      </c>
      <c r="C26" s="6" t="s">
        <v>1</v>
      </c>
      <c r="D26" s="6" t="s">
        <v>2</v>
      </c>
      <c r="E26" s="6" t="s">
        <v>3</v>
      </c>
      <c r="F26" s="6" t="s">
        <v>4</v>
      </c>
      <c r="G26" s="6" t="s">
        <v>5</v>
      </c>
      <c r="H26" s="6" t="s">
        <v>6</v>
      </c>
      <c r="I26" s="6" t="s">
        <v>7</v>
      </c>
      <c r="J26" s="6" t="s">
        <v>8</v>
      </c>
      <c r="K26" s="6" t="s">
        <v>9</v>
      </c>
      <c r="L26" s="7" t="s">
        <v>10</v>
      </c>
    </row>
    <row r="27" spans="1:12" x14ac:dyDescent="0.3">
      <c r="A27" s="8" t="s">
        <v>11</v>
      </c>
      <c r="B27" s="9">
        <f>LOG(B3)</f>
        <v>5.5941974006687625</v>
      </c>
      <c r="C27" s="9" t="e">
        <f t="shared" ref="C27:L27" si="0">LOG(C3)</f>
        <v>#NUM!</v>
      </c>
      <c r="D27" s="9">
        <f t="shared" si="0"/>
        <v>5.6582007925554629</v>
      </c>
      <c r="E27" s="9" t="e">
        <f t="shared" si="0"/>
        <v>#NUM!</v>
      </c>
      <c r="F27" s="9">
        <f t="shared" si="0"/>
        <v>5.180283851882594</v>
      </c>
      <c r="G27" s="9">
        <f t="shared" si="0"/>
        <v>6.2556950909779339</v>
      </c>
      <c r="H27" s="9">
        <f t="shared" si="0"/>
        <v>5.2464947443239431</v>
      </c>
      <c r="I27" s="9" t="e">
        <f t="shared" si="0"/>
        <v>#NUM!</v>
      </c>
      <c r="J27" s="9">
        <f t="shared" si="0"/>
        <v>6.3879570114834019</v>
      </c>
      <c r="K27" s="9">
        <f t="shared" si="0"/>
        <v>5.885622978752945</v>
      </c>
      <c r="L27" s="10">
        <f t="shared" si="0"/>
        <v>4.767019744697051</v>
      </c>
    </row>
    <row r="28" spans="1:12" x14ac:dyDescent="0.3">
      <c r="A28" s="8" t="s">
        <v>12</v>
      </c>
      <c r="B28" s="9">
        <f t="shared" ref="B28:L28" si="1">LOG(B4)</f>
        <v>5.7594690923539344</v>
      </c>
      <c r="C28" s="9" t="e">
        <f t="shared" si="1"/>
        <v>#NUM!</v>
      </c>
      <c r="D28" s="9">
        <f t="shared" si="1"/>
        <v>6.2019329718513552</v>
      </c>
      <c r="E28" s="9" t="e">
        <f t="shared" si="1"/>
        <v>#NUM!</v>
      </c>
      <c r="F28" s="9">
        <f t="shared" si="1"/>
        <v>5.7168605071852472</v>
      </c>
      <c r="G28" s="9">
        <f t="shared" si="1"/>
        <v>6.2805186615030202</v>
      </c>
      <c r="H28" s="9">
        <f t="shared" si="1"/>
        <v>5.1605575874719882</v>
      </c>
      <c r="I28" s="9" t="e">
        <f t="shared" si="1"/>
        <v>#NUM!</v>
      </c>
      <c r="J28" s="9">
        <f t="shared" si="1"/>
        <v>6.0760968654261545</v>
      </c>
      <c r="K28" s="9">
        <f t="shared" si="1"/>
        <v>5.8631355930428182</v>
      </c>
      <c r="L28" s="10" t="e">
        <f t="shared" si="1"/>
        <v>#NUM!</v>
      </c>
    </row>
    <row r="29" spans="1:12" x14ac:dyDescent="0.3">
      <c r="A29" s="8" t="s">
        <v>13</v>
      </c>
      <c r="B29" s="9">
        <f t="shared" ref="B29:L29" si="2">LOG(B5)</f>
        <v>5.4700381527323456</v>
      </c>
      <c r="C29" s="9" t="e">
        <f t="shared" si="2"/>
        <v>#NUM!</v>
      </c>
      <c r="D29" s="9">
        <f t="shared" si="2"/>
        <v>6.035476206279677</v>
      </c>
      <c r="E29" s="9" t="e">
        <f t="shared" si="2"/>
        <v>#NUM!</v>
      </c>
      <c r="F29" s="9">
        <f t="shared" si="2"/>
        <v>5.3446456252953194</v>
      </c>
      <c r="G29" s="9">
        <f t="shared" si="2"/>
        <v>5.9369094035166485</v>
      </c>
      <c r="H29" s="9">
        <f t="shared" si="2"/>
        <v>5.2673360249636421</v>
      </c>
      <c r="I29" s="9" t="e">
        <f t="shared" si="2"/>
        <v>#NUM!</v>
      </c>
      <c r="J29" s="9">
        <f t="shared" si="2"/>
        <v>5.9733142433540509</v>
      </c>
      <c r="K29" s="9">
        <f t="shared" si="2"/>
        <v>5.4909207111528895</v>
      </c>
      <c r="L29" s="10">
        <f t="shared" si="2"/>
        <v>5.0359507006028652</v>
      </c>
    </row>
    <row r="30" spans="1:12" x14ac:dyDescent="0.3">
      <c r="A30" s="8" t="s">
        <v>14</v>
      </c>
      <c r="B30" s="9">
        <f t="shared" ref="B30:L30" si="3">LOG(B6)</f>
        <v>5.0009149189520956</v>
      </c>
      <c r="C30" s="9" t="e">
        <f t="shared" si="3"/>
        <v>#NUM!</v>
      </c>
      <c r="D30" s="9">
        <f t="shared" si="3"/>
        <v>5.7459884049972043</v>
      </c>
      <c r="E30" s="9" t="e">
        <f t="shared" si="3"/>
        <v>#NUM!</v>
      </c>
      <c r="F30" s="9">
        <f t="shared" si="3"/>
        <v>5.0194451370558255</v>
      </c>
      <c r="G30" s="9">
        <f t="shared" si="3"/>
        <v>5.7874346650086084</v>
      </c>
      <c r="H30" s="9">
        <f t="shared" si="3"/>
        <v>4.4631422173425666</v>
      </c>
      <c r="I30" s="9" t="e">
        <f t="shared" si="3"/>
        <v>#NUM!</v>
      </c>
      <c r="J30" s="9">
        <f t="shared" si="3"/>
        <v>5.7290784706823867</v>
      </c>
      <c r="K30" s="9">
        <f t="shared" si="3"/>
        <v>5.2428255950286422</v>
      </c>
      <c r="L30" s="10">
        <f t="shared" si="3"/>
        <v>4.4673548919378829</v>
      </c>
    </row>
    <row r="31" spans="1:12" x14ac:dyDescent="0.3">
      <c r="A31" s="8" t="s">
        <v>15</v>
      </c>
      <c r="B31" s="9">
        <f t="shared" ref="B31:L31" si="4">LOG(B7)</f>
        <v>5.6728413452808946</v>
      </c>
      <c r="C31" s="9" t="e">
        <f t="shared" si="4"/>
        <v>#NUM!</v>
      </c>
      <c r="D31" s="9">
        <f t="shared" si="4"/>
        <v>6.2988580819375732</v>
      </c>
      <c r="E31" s="9" t="e">
        <f t="shared" si="4"/>
        <v>#NUM!</v>
      </c>
      <c r="F31" s="9">
        <f t="shared" si="4"/>
        <v>5.6494201861114401</v>
      </c>
      <c r="G31" s="9">
        <f t="shared" si="4"/>
        <v>6.407201538641468</v>
      </c>
      <c r="H31" s="9">
        <f t="shared" si="4"/>
        <v>5.0931172663981812</v>
      </c>
      <c r="I31" s="9" t="e">
        <f t="shared" si="4"/>
        <v>#NUM!</v>
      </c>
      <c r="J31" s="9">
        <f t="shared" si="4"/>
        <v>6.243940733568726</v>
      </c>
      <c r="K31" s="9">
        <f t="shared" si="4"/>
        <v>5.7956952719690111</v>
      </c>
      <c r="L31" s="10">
        <f t="shared" si="4"/>
        <v>4.2465636036645087</v>
      </c>
    </row>
    <row r="32" spans="1:12" x14ac:dyDescent="0.3">
      <c r="A32" s="8" t="s">
        <v>16</v>
      </c>
      <c r="B32" s="9">
        <f t="shared" ref="B32:L32" si="5">LOG(B8)</f>
        <v>5.3785855344976037</v>
      </c>
      <c r="C32" s="9" t="e">
        <f t="shared" si="5"/>
        <v>#NUM!</v>
      </c>
      <c r="D32" s="9">
        <f t="shared" si="5"/>
        <v>5.9909907179355475</v>
      </c>
      <c r="E32" s="9" t="e">
        <f t="shared" si="5"/>
        <v>#NUM!</v>
      </c>
      <c r="F32" s="9">
        <f t="shared" si="5"/>
        <v>5.3415528221094153</v>
      </c>
      <c r="G32" s="9">
        <f t="shared" si="5"/>
        <v>6.1194135815177919</v>
      </c>
      <c r="H32" s="9">
        <f t="shared" si="5"/>
        <v>4.7852499023961563</v>
      </c>
      <c r="I32" s="9" t="e">
        <f t="shared" si="5"/>
        <v>#NUM!</v>
      </c>
      <c r="J32" s="9">
        <f t="shared" si="5"/>
        <v>6.060116189723959</v>
      </c>
      <c r="K32" s="9">
        <f t="shared" si="5"/>
        <v>5.4878279079669854</v>
      </c>
      <c r="L32" s="10">
        <f t="shared" si="5"/>
        <v>5.09714440208736</v>
      </c>
    </row>
    <row r="33" spans="1:12" x14ac:dyDescent="0.3">
      <c r="A33" s="8" t="s">
        <v>17</v>
      </c>
      <c r="B33" s="9">
        <f t="shared" ref="B33:L33" si="6">LOG(B9)</f>
        <v>5.1821079289842373</v>
      </c>
      <c r="C33" s="9" t="e">
        <f t="shared" si="6"/>
        <v>#NUM!</v>
      </c>
      <c r="D33" s="9">
        <f t="shared" si="6"/>
        <v>6.0701442586798615</v>
      </c>
      <c r="E33" s="9" t="e">
        <f t="shared" si="6"/>
        <v>#NUM!</v>
      </c>
      <c r="F33" s="9">
        <f t="shared" si="6"/>
        <v>5.4207063628537284</v>
      </c>
      <c r="G33" s="9">
        <f t="shared" si="6"/>
        <v>6.0633340671477143</v>
      </c>
      <c r="H33" s="9">
        <f t="shared" si="6"/>
        <v>4.8644034431404695</v>
      </c>
      <c r="I33" s="9" t="e">
        <f t="shared" si="6"/>
        <v>#NUM!</v>
      </c>
      <c r="J33" s="9">
        <f t="shared" si="6"/>
        <v>5.7799427210946357</v>
      </c>
      <c r="K33" s="9">
        <f t="shared" si="6"/>
        <v>5.5669814487112994</v>
      </c>
      <c r="L33" s="10" t="e">
        <f t="shared" si="6"/>
        <v>#NUM!</v>
      </c>
    </row>
    <row r="34" spans="1:12" x14ac:dyDescent="0.3">
      <c r="A34" s="8" t="s">
        <v>18</v>
      </c>
      <c r="B34" s="9">
        <f t="shared" ref="B34:L34" si="7">LOG(B10)</f>
        <v>5.0329024135671743</v>
      </c>
      <c r="C34" s="9" t="e">
        <f t="shared" si="7"/>
        <v>#NUM!</v>
      </c>
      <c r="D34" s="9">
        <f t="shared" si="7"/>
        <v>6.7543193463514495</v>
      </c>
      <c r="E34" s="9" t="e">
        <f t="shared" si="7"/>
        <v>#NUM!</v>
      </c>
      <c r="F34" s="9">
        <f t="shared" si="7"/>
        <v>5.1349879817680781</v>
      </c>
      <c r="G34" s="9">
        <f t="shared" si="7"/>
        <v>6.0437526983847842</v>
      </c>
      <c r="H34" s="9">
        <f t="shared" si="7"/>
        <v>4.5409509554457701</v>
      </c>
      <c r="I34" s="9" t="e">
        <f t="shared" si="7"/>
        <v>#NUM!</v>
      </c>
      <c r="J34" s="9">
        <f t="shared" si="7"/>
        <v>6.0006342123331704</v>
      </c>
      <c r="K34" s="9">
        <f t="shared" si="7"/>
        <v>5.3789162324105737</v>
      </c>
      <c r="L34" s="10">
        <f t="shared" si="7"/>
        <v>4.5667450914007448</v>
      </c>
    </row>
    <row r="35" spans="1:12" x14ac:dyDescent="0.3">
      <c r="A35" s="8" t="s">
        <v>19</v>
      </c>
      <c r="B35" s="9">
        <f t="shared" ref="B35:L35" si="8">LOG(B11)</f>
        <v>5.524687759312763</v>
      </c>
      <c r="C35" s="9" t="e">
        <f t="shared" si="8"/>
        <v>#NUM!</v>
      </c>
      <c r="D35" s="9">
        <f t="shared" si="8"/>
        <v>6.0020674162778294</v>
      </c>
      <c r="E35" s="9" t="e">
        <f t="shared" si="8"/>
        <v>#NUM!</v>
      </c>
      <c r="F35" s="9">
        <f t="shared" si="8"/>
        <v>5.6498086335967308</v>
      </c>
      <c r="G35" s="9">
        <f t="shared" si="8"/>
        <v>6.5335161240766855</v>
      </c>
      <c r="H35" s="9">
        <f t="shared" si="8"/>
        <v>5.054863404993494</v>
      </c>
      <c r="I35" s="9" t="e">
        <f t="shared" si="8"/>
        <v>#NUM!</v>
      </c>
      <c r="J35" s="9">
        <f t="shared" si="8"/>
        <v>6.2411052399790359</v>
      </c>
      <c r="K35" s="9">
        <f t="shared" si="8"/>
        <v>5.7574414105643239</v>
      </c>
      <c r="L35" s="10">
        <f t="shared" si="8"/>
        <v>5.0794826954055994</v>
      </c>
    </row>
    <row r="36" spans="1:12" x14ac:dyDescent="0.3">
      <c r="A36" s="8" t="s">
        <v>20</v>
      </c>
      <c r="B36" s="9">
        <f t="shared" ref="B36:L36" si="9">LOG(B12)</f>
        <v>5.148304960939404</v>
      </c>
      <c r="C36" s="9" t="e">
        <f t="shared" si="9"/>
        <v>#NUM!</v>
      </c>
      <c r="D36" s="9">
        <f t="shared" si="9"/>
        <v>6.1629944630537192</v>
      </c>
      <c r="E36" s="9" t="e">
        <f t="shared" si="9"/>
        <v>#NUM!</v>
      </c>
      <c r="F36" s="9">
        <f t="shared" si="9"/>
        <v>5.236804878488817</v>
      </c>
      <c r="G36" s="9">
        <f t="shared" si="9"/>
        <v>6.4556527823599197</v>
      </c>
      <c r="H36" s="9">
        <f t="shared" si="9"/>
        <v>4.680560414187438</v>
      </c>
      <c r="I36" s="9" t="e">
        <f t="shared" si="9"/>
        <v>#NUM!</v>
      </c>
      <c r="J36" s="9">
        <f t="shared" si="9"/>
        <v>6.2709779845266853</v>
      </c>
      <c r="K36" s="9">
        <f t="shared" si="9"/>
        <v>5.038807185965485</v>
      </c>
      <c r="L36" s="10" t="e">
        <f t="shared" si="9"/>
        <v>#NUM!</v>
      </c>
    </row>
    <row r="37" spans="1:12" x14ac:dyDescent="0.3">
      <c r="A37" s="8" t="s">
        <v>21</v>
      </c>
      <c r="B37" s="9">
        <f t="shared" ref="B37:L37" si="10">LOG(B13)</f>
        <v>5.007144202467253</v>
      </c>
      <c r="C37" s="9" t="e">
        <f t="shared" si="10"/>
        <v>#NUM!</v>
      </c>
      <c r="D37" s="9">
        <f t="shared" si="10"/>
        <v>6.3442326263848132</v>
      </c>
      <c r="E37" s="9" t="e">
        <f t="shared" si="10"/>
        <v>#NUM!</v>
      </c>
      <c r="F37" s="9">
        <f t="shared" si="10"/>
        <v>4.9929817911450405</v>
      </c>
      <c r="G37" s="9">
        <f t="shared" si="10"/>
        <v>5.9365410875668827</v>
      </c>
      <c r="H37" s="9">
        <f t="shared" si="10"/>
        <v>4.4366788714317815</v>
      </c>
      <c r="I37" s="9" t="e">
        <f t="shared" si="10"/>
        <v>#NUM!</v>
      </c>
      <c r="J37" s="9">
        <f t="shared" si="10"/>
        <v>5.6410968093069611</v>
      </c>
      <c r="K37" s="9">
        <f t="shared" si="10"/>
        <v>5.1496583956353685</v>
      </c>
      <c r="L37" s="10">
        <f t="shared" si="10"/>
        <v>2.939408055366465</v>
      </c>
    </row>
    <row r="38" spans="1:12" x14ac:dyDescent="0.3">
      <c r="A38" s="8" t="s">
        <v>22</v>
      </c>
      <c r="B38" s="9">
        <f t="shared" ref="B38:L38" si="11">LOG(B14)</f>
        <v>4.9590466284105341</v>
      </c>
      <c r="C38" s="9" t="e">
        <f t="shared" si="11"/>
        <v>#NUM!</v>
      </c>
      <c r="D38" s="9">
        <f t="shared" si="11"/>
        <v>5.5183249736992215</v>
      </c>
      <c r="E38" s="9" t="e">
        <f t="shared" si="11"/>
        <v>#NUM!</v>
      </c>
      <c r="F38" s="9">
        <f t="shared" si="11"/>
        <v>4.8688870778730893</v>
      </c>
      <c r="G38" s="9">
        <f t="shared" si="11"/>
        <v>5.4402042202275673</v>
      </c>
      <c r="H38" s="9">
        <f t="shared" si="11"/>
        <v>4.3125841581598303</v>
      </c>
      <c r="I38" s="9" t="e">
        <f t="shared" si="11"/>
        <v>#NUM!</v>
      </c>
      <c r="J38" s="9">
        <f t="shared" si="11"/>
        <v>5.2357824241507016</v>
      </c>
      <c r="K38" s="9">
        <f t="shared" si="11"/>
        <v>5.0151621637306594</v>
      </c>
      <c r="L38" s="10">
        <f t="shared" si="11"/>
        <v>2.957957258270195</v>
      </c>
    </row>
    <row r="39" spans="1:12" x14ac:dyDescent="0.3">
      <c r="A39" s="8" t="s">
        <v>23</v>
      </c>
      <c r="B39" s="9">
        <f t="shared" ref="B39:L39" si="12">LOG(B15)</f>
        <v>4.4652257943124205</v>
      </c>
      <c r="C39" s="9" t="e">
        <f t="shared" si="12"/>
        <v>#NUM!</v>
      </c>
      <c r="D39" s="9">
        <f t="shared" si="12"/>
        <v>4.6844964238123747</v>
      </c>
      <c r="E39" s="9" t="e">
        <f t="shared" si="12"/>
        <v>#NUM!</v>
      </c>
      <c r="F39" s="9">
        <f t="shared" si="12"/>
        <v>3.9638829368631305</v>
      </c>
      <c r="G39" s="9">
        <f t="shared" si="12"/>
        <v>4.8783515612380786</v>
      </c>
      <c r="H39" s="9">
        <f t="shared" si="12"/>
        <v>3.4097129207259269</v>
      </c>
      <c r="I39" s="9" t="e">
        <f t="shared" si="12"/>
        <v>#NUM!</v>
      </c>
      <c r="J39" s="9">
        <f t="shared" si="12"/>
        <v>5.2088809976981931</v>
      </c>
      <c r="K39" s="9">
        <f t="shared" si="12"/>
        <v>4.448649500491574</v>
      </c>
      <c r="L39" s="10">
        <f t="shared" si="12"/>
        <v>2.6001873210659512</v>
      </c>
    </row>
    <row r="40" spans="1:12" x14ac:dyDescent="0.3">
      <c r="A40" s="8" t="s">
        <v>24</v>
      </c>
      <c r="B40" s="9">
        <f t="shared" ref="B40:L40" si="13">LOG(B16)</f>
        <v>4.8700131664317068</v>
      </c>
      <c r="C40" s="9" t="e">
        <f t="shared" si="13"/>
        <v>#NUM!</v>
      </c>
      <c r="D40" s="9">
        <f t="shared" si="13"/>
        <v>4.6716844480524093</v>
      </c>
      <c r="E40" s="9" t="e">
        <f t="shared" si="13"/>
        <v>#NUM!</v>
      </c>
      <c r="F40" s="9">
        <f t="shared" si="13"/>
        <v>4.5926216812552738</v>
      </c>
      <c r="G40" s="9">
        <f t="shared" si="13"/>
        <v>5.3355550221745771</v>
      </c>
      <c r="H40" s="9">
        <f t="shared" si="13"/>
        <v>4.0362604787153948</v>
      </c>
      <c r="I40" s="9" t="e">
        <f t="shared" si="13"/>
        <v>#NUM!</v>
      </c>
      <c r="J40" s="9">
        <f t="shared" si="13"/>
        <v>4.7394873884569213</v>
      </c>
      <c r="K40" s="9">
        <f t="shared" si="13"/>
        <v>4.8420097698781062</v>
      </c>
      <c r="L40" s="10">
        <f t="shared" si="13"/>
        <v>3.8171752121340901</v>
      </c>
    </row>
    <row r="41" spans="1:12" x14ac:dyDescent="0.3">
      <c r="A41" s="8" t="s">
        <v>25</v>
      </c>
      <c r="B41" s="9">
        <f t="shared" ref="B41:L41" si="14">LOG(B17)</f>
        <v>5.168069474862425</v>
      </c>
      <c r="C41" s="9" t="e">
        <f t="shared" si="14"/>
        <v>#NUM!</v>
      </c>
      <c r="D41" s="9">
        <f t="shared" si="14"/>
        <v>5.7788078062609971</v>
      </c>
      <c r="E41" s="9" t="e">
        <f t="shared" si="14"/>
        <v>#NUM!</v>
      </c>
      <c r="F41" s="9">
        <f t="shared" si="14"/>
        <v>5.0744083327156169</v>
      </c>
      <c r="G41" s="9">
        <f t="shared" si="14"/>
        <v>5.6986220528253702</v>
      </c>
      <c r="H41" s="9">
        <f t="shared" si="14"/>
        <v>4.5181054130023579</v>
      </c>
      <c r="I41" s="9" t="e">
        <f t="shared" si="14"/>
        <v>#NUM!</v>
      </c>
      <c r="J41" s="9">
        <f t="shared" si="14"/>
        <v>5.6252460752642071</v>
      </c>
      <c r="K41" s="9">
        <f t="shared" si="14"/>
        <v>5.275644996292435</v>
      </c>
      <c r="L41" s="10">
        <f t="shared" si="14"/>
        <v>3.080955110096919</v>
      </c>
    </row>
    <row r="42" spans="1:12" x14ac:dyDescent="0.3">
      <c r="A42" s="8" t="s">
        <v>26</v>
      </c>
      <c r="B42" s="9">
        <f t="shared" ref="B42:L42" si="15">LOG(B18)</f>
        <v>4.8769374207049507</v>
      </c>
      <c r="C42" s="9" t="e">
        <f t="shared" si="15"/>
        <v>#NUM!</v>
      </c>
      <c r="D42" s="9">
        <f t="shared" si="15"/>
        <v>5.756503633420718</v>
      </c>
      <c r="E42" s="9" t="e">
        <f t="shared" si="15"/>
        <v>#NUM!</v>
      </c>
      <c r="F42" s="9">
        <f t="shared" si="15"/>
        <v>5.1070657375945858</v>
      </c>
      <c r="G42" s="9">
        <f t="shared" si="15"/>
        <v>5.6791940088922148</v>
      </c>
      <c r="H42" s="9">
        <f t="shared" si="15"/>
        <v>4.5507628178813269</v>
      </c>
      <c r="I42" s="9" t="e">
        <f t="shared" si="15"/>
        <v>#NUM!</v>
      </c>
      <c r="J42" s="9">
        <f t="shared" si="15"/>
        <v>5.4747722128153482</v>
      </c>
      <c r="K42" s="9">
        <f t="shared" si="15"/>
        <v>5.2533408234521559</v>
      </c>
      <c r="L42" s="10">
        <f t="shared" si="15"/>
        <v>3.2402607548385807</v>
      </c>
    </row>
    <row r="43" spans="1:12" x14ac:dyDescent="0.3">
      <c r="A43" s="8" t="s">
        <v>27</v>
      </c>
      <c r="B43" s="9">
        <f t="shared" ref="B43:L43" si="16">LOG(B19)</f>
        <v>4.9295654924739019</v>
      </c>
      <c r="C43" s="9" t="e">
        <f t="shared" si="16"/>
        <v>#NUM!</v>
      </c>
      <c r="D43" s="9">
        <f t="shared" si="16"/>
        <v>5.5933516867367983</v>
      </c>
      <c r="E43" s="9" t="e">
        <f t="shared" si="16"/>
        <v>#NUM!</v>
      </c>
      <c r="F43" s="9">
        <f t="shared" si="16"/>
        <v>4.4487817253560094</v>
      </c>
      <c r="G43" s="9">
        <f t="shared" si="16"/>
        <v>5.5083631081427509</v>
      </c>
      <c r="H43" s="9">
        <f t="shared" si="16"/>
        <v>3.8924788056427504</v>
      </c>
      <c r="I43" s="9" t="e">
        <f t="shared" si="16"/>
        <v>#NUM!</v>
      </c>
      <c r="J43" s="9">
        <f t="shared" si="16"/>
        <v>5.3665921697169114</v>
      </c>
      <c r="K43" s="9">
        <f t="shared" si="16"/>
        <v>5.0901888767682362</v>
      </c>
      <c r="L43" s="10">
        <f t="shared" si="16"/>
        <v>2.0436390212972659</v>
      </c>
    </row>
    <row r="44" spans="1:12" x14ac:dyDescent="0.3">
      <c r="A44" s="8" t="s">
        <v>28</v>
      </c>
      <c r="B44" s="9">
        <f t="shared" ref="B44:L44" si="17">LOG(B20)</f>
        <v>5.5779563949181412</v>
      </c>
      <c r="C44" s="9" t="e">
        <f t="shared" si="17"/>
        <v>#NUM!</v>
      </c>
      <c r="D44" s="9">
        <f t="shared" si="17"/>
        <v>5.5273471059536652</v>
      </c>
      <c r="E44" s="9" t="e">
        <f t="shared" si="17"/>
        <v>#NUM!</v>
      </c>
      <c r="F44" s="9">
        <f t="shared" si="17"/>
        <v>5.3742556646727673</v>
      </c>
      <c r="G44" s="9">
        <f t="shared" si="17"/>
        <v>6.1917901362148182</v>
      </c>
      <c r="H44" s="9">
        <f t="shared" si="17"/>
        <v>4.8179527449595083</v>
      </c>
      <c r="I44" s="9" t="e">
        <f t="shared" si="17"/>
        <v>#NUM!</v>
      </c>
      <c r="J44" s="9">
        <f t="shared" si="17"/>
        <v>6.1303335271558872</v>
      </c>
      <c r="K44" s="9">
        <f t="shared" si="17"/>
        <v>5.7027454029829885</v>
      </c>
      <c r="L44" s="10">
        <f t="shared" si="17"/>
        <v>4.6491442932209086</v>
      </c>
    </row>
    <row r="45" spans="1:12" x14ac:dyDescent="0.3">
      <c r="A45" s="8" t="s">
        <v>29</v>
      </c>
      <c r="B45" s="9">
        <f t="shared" ref="B45:L45" si="18">LOG(B21)</f>
        <v>4.851610248663623</v>
      </c>
      <c r="C45" s="9" t="e">
        <f t="shared" si="18"/>
        <v>#NUM!</v>
      </c>
      <c r="D45" s="9">
        <f t="shared" si="18"/>
        <v>5.392982855300577</v>
      </c>
      <c r="E45" s="9" t="e">
        <f t="shared" si="18"/>
        <v>#NUM!</v>
      </c>
      <c r="F45" s="9">
        <f t="shared" si="18"/>
        <v>4.4253838439413125</v>
      </c>
      <c r="G45" s="9">
        <f t="shared" si="18"/>
        <v>5.4291608523834975</v>
      </c>
      <c r="H45" s="9">
        <f t="shared" si="18"/>
        <v>3.8690809242280539</v>
      </c>
      <c r="I45" s="9" t="e">
        <f t="shared" si="18"/>
        <v>#NUM!</v>
      </c>
      <c r="J45" s="9">
        <f t="shared" si="18"/>
        <v>5.2247390563066318</v>
      </c>
      <c r="K45" s="9">
        <f t="shared" si="18"/>
        <v>4.8898200453320149</v>
      </c>
      <c r="L45" s="10">
        <f t="shared" si="18"/>
        <v>4.0932229197109944</v>
      </c>
    </row>
    <row r="46" spans="1:12" x14ac:dyDescent="0.3">
      <c r="A46" s="8" t="s">
        <v>30</v>
      </c>
      <c r="B46" s="9">
        <f t="shared" ref="B46:L46" si="19">LOG(B22)</f>
        <v>4.9858910630812634</v>
      </c>
      <c r="C46" s="9" t="e">
        <f t="shared" si="19"/>
        <v>#NUM!</v>
      </c>
      <c r="D46" s="9">
        <f t="shared" si="19"/>
        <v>5.6464584356268093</v>
      </c>
      <c r="E46" s="9" t="e">
        <f t="shared" si="19"/>
        <v>#NUM!</v>
      </c>
      <c r="F46" s="9">
        <f t="shared" si="19"/>
        <v>4.8218817469767279</v>
      </c>
      <c r="G46" s="9">
        <f t="shared" si="19"/>
        <v>5.9271305022575991</v>
      </c>
      <c r="H46" s="9">
        <f t="shared" si="19"/>
        <v>5.2567858426303333</v>
      </c>
      <c r="I46" s="9" t="e">
        <f t="shared" si="19"/>
        <v>#NUM!</v>
      </c>
      <c r="J46" s="9">
        <f t="shared" si="19"/>
        <v>5.6508343286865772</v>
      </c>
      <c r="K46" s="9">
        <f t="shared" si="19"/>
        <v>5.1432956256582472</v>
      </c>
      <c r="L46" s="10" t="e">
        <f t="shared" si="19"/>
        <v>#NUM!</v>
      </c>
    </row>
    <row r="47" spans="1:12" x14ac:dyDescent="0.3">
      <c r="A47" s="8" t="s">
        <v>31</v>
      </c>
      <c r="B47" s="9">
        <f t="shared" ref="B47:L47" si="20">LOG(B23)</f>
        <v>4.8969712060882653</v>
      </c>
      <c r="C47" s="9" t="e">
        <f t="shared" si="20"/>
        <v>#NUM!</v>
      </c>
      <c r="D47" s="9">
        <f t="shared" si="20"/>
        <v>5.6630306191981772</v>
      </c>
      <c r="E47" s="9" t="e">
        <f t="shared" si="20"/>
        <v>#NUM!</v>
      </c>
      <c r="F47" s="9">
        <f t="shared" si="20"/>
        <v>4.7322707917854592</v>
      </c>
      <c r="G47" s="9">
        <f t="shared" si="20"/>
        <v>5.577250877689818</v>
      </c>
      <c r="H47" s="9">
        <f t="shared" si="20"/>
        <v>4.1759678720722002</v>
      </c>
      <c r="I47" s="9" t="e">
        <f t="shared" si="20"/>
        <v>#NUM!</v>
      </c>
      <c r="J47" s="9">
        <f t="shared" si="20"/>
        <v>5.3728290816129523</v>
      </c>
      <c r="K47" s="9">
        <f t="shared" si="20"/>
        <v>5.159867809229616</v>
      </c>
      <c r="L47" s="10" t="e">
        <f t="shared" si="20"/>
        <v>#NUM!</v>
      </c>
    </row>
    <row r="48" spans="1:12" ht="15" thickBot="1" x14ac:dyDescent="0.35">
      <c r="A48" s="11" t="s">
        <v>32</v>
      </c>
      <c r="B48" s="4">
        <f t="shared" ref="B48:L48" si="21">LOG(B24)</f>
        <v>5.0665863647271694</v>
      </c>
      <c r="C48" s="4" t="e">
        <f t="shared" si="21"/>
        <v>#NUM!</v>
      </c>
      <c r="D48" s="4">
        <f t="shared" si="21"/>
        <v>6.3066681074777176</v>
      </c>
      <c r="E48" s="4" t="e">
        <f t="shared" si="21"/>
        <v>#NUM!</v>
      </c>
      <c r="F48" s="4">
        <f t="shared" si="21"/>
        <v>5.2060513375935233</v>
      </c>
      <c r="G48" s="4">
        <f t="shared" si="21"/>
        <v>6.055163591772236</v>
      </c>
      <c r="H48" s="4">
        <f t="shared" si="21"/>
        <v>4.6497484178802644</v>
      </c>
      <c r="I48" s="4" t="e">
        <f t="shared" si="21"/>
        <v>#NUM!</v>
      </c>
      <c r="J48" s="4">
        <f t="shared" si="21"/>
        <v>6.1806330665970952</v>
      </c>
      <c r="K48" s="4">
        <f t="shared" si="21"/>
        <v>5.3523264234510934</v>
      </c>
      <c r="L48" s="12">
        <f t="shared" si="21"/>
        <v>4.8079904992153057</v>
      </c>
    </row>
    <row r="50" spans="1:5" x14ac:dyDescent="0.3">
      <c r="A50" t="s">
        <v>51</v>
      </c>
    </row>
    <row r="59" spans="1:5" x14ac:dyDescent="0.3">
      <c r="D59" s="1"/>
      <c r="E59" s="2"/>
    </row>
    <row r="60" spans="1:5" x14ac:dyDescent="0.3">
      <c r="D60" s="1"/>
      <c r="E60" s="2"/>
    </row>
    <row r="61" spans="1:5" x14ac:dyDescent="0.3">
      <c r="D61" s="1"/>
      <c r="E61" s="2"/>
    </row>
    <row r="62" spans="1:5" x14ac:dyDescent="0.3">
      <c r="D62" s="1"/>
      <c r="E62" s="2"/>
    </row>
    <row r="63" spans="1:5" x14ac:dyDescent="0.3">
      <c r="D63" s="1"/>
      <c r="E63" s="2"/>
    </row>
    <row r="64" spans="1:5" x14ac:dyDescent="0.3">
      <c r="D64" s="1"/>
      <c r="E64" s="2"/>
    </row>
    <row r="65" spans="4:5" x14ac:dyDescent="0.3">
      <c r="D65" s="1"/>
      <c r="E65" s="2"/>
    </row>
    <row r="66" spans="4:5" x14ac:dyDescent="0.3">
      <c r="D66" s="1"/>
      <c r="E66" s="2"/>
    </row>
    <row r="67" spans="4:5" x14ac:dyDescent="0.3">
      <c r="D67" s="1"/>
      <c r="E67" s="2"/>
    </row>
    <row r="68" spans="4:5" x14ac:dyDescent="0.3">
      <c r="D68" s="1"/>
      <c r="E68" s="2"/>
    </row>
    <row r="69" spans="4:5" x14ac:dyDescent="0.3">
      <c r="D69" s="1"/>
      <c r="E69" s="2"/>
    </row>
    <row r="70" spans="4:5" x14ac:dyDescent="0.3">
      <c r="D70" s="1"/>
      <c r="E70" s="2"/>
    </row>
    <row r="71" spans="4:5" x14ac:dyDescent="0.3">
      <c r="D71" s="1"/>
      <c r="E71" s="2"/>
    </row>
    <row r="72" spans="4:5" x14ac:dyDescent="0.3">
      <c r="D72" s="1"/>
      <c r="E72" s="2"/>
    </row>
    <row r="73" spans="4:5" x14ac:dyDescent="0.3">
      <c r="D73" s="1"/>
      <c r="E73" s="2"/>
    </row>
    <row r="74" spans="4:5" x14ac:dyDescent="0.3">
      <c r="D74" s="1"/>
      <c r="E74" s="2"/>
    </row>
    <row r="75" spans="4:5" x14ac:dyDescent="0.3">
      <c r="D75" s="1"/>
      <c r="E75" s="2"/>
    </row>
    <row r="76" spans="4:5" x14ac:dyDescent="0.3">
      <c r="D76" s="1"/>
      <c r="E76" s="2"/>
    </row>
    <row r="77" spans="4:5" x14ac:dyDescent="0.3">
      <c r="D77" s="1"/>
      <c r="E77" s="2"/>
    </row>
    <row r="78" spans="4:5" x14ac:dyDescent="0.3">
      <c r="D78" s="1"/>
      <c r="E78" s="2"/>
    </row>
    <row r="79" spans="4:5" x14ac:dyDescent="0.3">
      <c r="D79" s="1"/>
      <c r="E79" s="2"/>
    </row>
    <row r="80" spans="4:5" x14ac:dyDescent="0.3">
      <c r="D80" s="1"/>
      <c r="E80" s="2"/>
    </row>
    <row r="81" spans="4:5" x14ac:dyDescent="0.3">
      <c r="D81" s="1"/>
      <c r="E81" s="2"/>
    </row>
    <row r="82" spans="4:5" x14ac:dyDescent="0.3">
      <c r="D82" s="1"/>
      <c r="E82" s="2"/>
    </row>
    <row r="83" spans="4:5" x14ac:dyDescent="0.3">
      <c r="D83" s="1"/>
      <c r="E83" s="2"/>
    </row>
    <row r="84" spans="4:5" x14ac:dyDescent="0.3">
      <c r="D84" s="1"/>
      <c r="E84" s="2"/>
    </row>
    <row r="85" spans="4:5" x14ac:dyDescent="0.3">
      <c r="D85" s="1"/>
      <c r="E85" s="2"/>
    </row>
    <row r="86" spans="4:5" x14ac:dyDescent="0.3">
      <c r="D86" s="1"/>
      <c r="E86" s="2"/>
    </row>
    <row r="87" spans="4:5" x14ac:dyDescent="0.3">
      <c r="D87" s="1"/>
      <c r="E87" s="2"/>
    </row>
    <row r="88" spans="4:5" x14ac:dyDescent="0.3">
      <c r="D88" s="1"/>
      <c r="E88" s="2"/>
    </row>
    <row r="89" spans="4:5" x14ac:dyDescent="0.3">
      <c r="D89" s="1"/>
      <c r="E89" s="2"/>
    </row>
    <row r="90" spans="4:5" x14ac:dyDescent="0.3">
      <c r="D90" s="1"/>
      <c r="E90" s="2"/>
    </row>
    <row r="91" spans="4:5" x14ac:dyDescent="0.3">
      <c r="D91" s="1"/>
      <c r="E91" s="2"/>
    </row>
    <row r="92" spans="4:5" x14ac:dyDescent="0.3">
      <c r="D92" s="1"/>
      <c r="E92" s="2"/>
    </row>
    <row r="93" spans="4:5" x14ac:dyDescent="0.3">
      <c r="D93" s="1"/>
      <c r="E93" s="2"/>
    </row>
    <row r="94" spans="4:5" x14ac:dyDescent="0.3">
      <c r="D94" s="1"/>
      <c r="E94" s="2"/>
    </row>
    <row r="95" spans="4:5" x14ac:dyDescent="0.3">
      <c r="D95" s="1"/>
      <c r="E95" s="2"/>
    </row>
    <row r="96" spans="4:5" x14ac:dyDescent="0.3">
      <c r="D96" s="1"/>
      <c r="E96" s="2"/>
    </row>
    <row r="97" spans="4:5" x14ac:dyDescent="0.3">
      <c r="D97" s="1"/>
      <c r="E97" s="2"/>
    </row>
    <row r="98" spans="4:5" x14ac:dyDescent="0.3">
      <c r="D98" s="1"/>
      <c r="E98" s="2"/>
    </row>
    <row r="99" spans="4:5" x14ac:dyDescent="0.3">
      <c r="D99" s="1"/>
      <c r="E99" s="2"/>
    </row>
    <row r="100" spans="4:5" x14ac:dyDescent="0.3">
      <c r="D100" s="1"/>
      <c r="E100" s="2"/>
    </row>
    <row r="101" spans="4:5" x14ac:dyDescent="0.3">
      <c r="D101" s="1"/>
      <c r="E101" s="2"/>
    </row>
    <row r="102" spans="4:5" x14ac:dyDescent="0.3">
      <c r="D102" s="1"/>
      <c r="E102" s="2"/>
    </row>
    <row r="103" spans="4:5" x14ac:dyDescent="0.3">
      <c r="D103" s="1"/>
      <c r="E103" s="2"/>
    </row>
    <row r="104" spans="4:5" x14ac:dyDescent="0.3">
      <c r="D104" s="1"/>
      <c r="E104" s="2"/>
    </row>
    <row r="105" spans="4:5" x14ac:dyDescent="0.3">
      <c r="D105" s="1"/>
      <c r="E105" s="2"/>
    </row>
    <row r="106" spans="4:5" x14ac:dyDescent="0.3">
      <c r="D106" s="1"/>
      <c r="E106" s="2"/>
    </row>
    <row r="107" spans="4:5" x14ac:dyDescent="0.3">
      <c r="D107" s="1"/>
      <c r="E107" s="2"/>
    </row>
    <row r="108" spans="4:5" x14ac:dyDescent="0.3">
      <c r="D108" s="1"/>
      <c r="E108" s="2"/>
    </row>
    <row r="109" spans="4:5" x14ac:dyDescent="0.3">
      <c r="D109" s="1"/>
      <c r="E109" s="2"/>
    </row>
    <row r="110" spans="4:5" x14ac:dyDescent="0.3">
      <c r="D110" s="1"/>
      <c r="E110" s="2"/>
    </row>
    <row r="111" spans="4:5" x14ac:dyDescent="0.3">
      <c r="D111" s="1"/>
      <c r="E111" s="2"/>
    </row>
    <row r="112" spans="4:5" x14ac:dyDescent="0.3">
      <c r="D112" s="1"/>
      <c r="E112" s="2"/>
    </row>
    <row r="113" spans="4:5" x14ac:dyDescent="0.3">
      <c r="D113" s="1"/>
      <c r="E113" s="2"/>
    </row>
    <row r="114" spans="4:5" x14ac:dyDescent="0.3">
      <c r="D114" s="1"/>
      <c r="E114" s="2"/>
    </row>
    <row r="115" spans="4:5" x14ac:dyDescent="0.3">
      <c r="D115" s="1"/>
      <c r="E115" s="2"/>
    </row>
    <row r="116" spans="4:5" x14ac:dyDescent="0.3">
      <c r="D116" s="1"/>
      <c r="E116" s="2"/>
    </row>
    <row r="117" spans="4:5" x14ac:dyDescent="0.3">
      <c r="D117" s="1"/>
      <c r="E117" s="2"/>
    </row>
    <row r="118" spans="4:5" x14ac:dyDescent="0.3">
      <c r="D118" s="1"/>
      <c r="E118" s="2"/>
    </row>
    <row r="119" spans="4:5" x14ac:dyDescent="0.3">
      <c r="D119" s="1"/>
      <c r="E119" s="2"/>
    </row>
    <row r="120" spans="4:5" x14ac:dyDescent="0.3">
      <c r="D120" s="1"/>
      <c r="E120" s="2"/>
    </row>
    <row r="121" spans="4:5" x14ac:dyDescent="0.3">
      <c r="D121" s="1"/>
      <c r="E121" s="2"/>
    </row>
    <row r="122" spans="4:5" x14ac:dyDescent="0.3">
      <c r="D122" s="1"/>
      <c r="E122" s="2"/>
    </row>
    <row r="123" spans="4:5" x14ac:dyDescent="0.3">
      <c r="D123" s="1"/>
      <c r="E123" s="2"/>
    </row>
    <row r="124" spans="4:5" x14ac:dyDescent="0.3">
      <c r="D124" s="1"/>
      <c r="E124" s="2"/>
    </row>
    <row r="125" spans="4:5" x14ac:dyDescent="0.3">
      <c r="D125" s="1"/>
      <c r="E125" s="2"/>
    </row>
    <row r="126" spans="4:5" x14ac:dyDescent="0.3">
      <c r="D126" s="1"/>
      <c r="E126" s="2"/>
    </row>
    <row r="127" spans="4:5" x14ac:dyDescent="0.3">
      <c r="D127" s="1"/>
      <c r="E127" s="2"/>
    </row>
    <row r="128" spans="4:5" x14ac:dyDescent="0.3">
      <c r="D128" s="1"/>
      <c r="E128" s="2"/>
    </row>
    <row r="129" spans="4:5" x14ac:dyDescent="0.3">
      <c r="D129" s="1"/>
      <c r="E129" s="2"/>
    </row>
    <row r="130" spans="4:5" x14ac:dyDescent="0.3">
      <c r="D130" s="1"/>
      <c r="E130" s="2"/>
    </row>
    <row r="131" spans="4:5" x14ac:dyDescent="0.3">
      <c r="D131" s="1"/>
      <c r="E131" s="2"/>
    </row>
    <row r="132" spans="4:5" x14ac:dyDescent="0.3">
      <c r="D132" s="1"/>
      <c r="E132" s="2"/>
    </row>
    <row r="133" spans="4:5" x14ac:dyDescent="0.3">
      <c r="D133" s="1"/>
      <c r="E133" s="2"/>
    </row>
    <row r="134" spans="4:5" x14ac:dyDescent="0.3">
      <c r="D134" s="1"/>
      <c r="E134" s="2"/>
    </row>
    <row r="135" spans="4:5" x14ac:dyDescent="0.3">
      <c r="D135" s="1"/>
      <c r="E135" s="2"/>
    </row>
    <row r="136" spans="4:5" x14ac:dyDescent="0.3">
      <c r="D136" s="1"/>
      <c r="E136" s="2"/>
    </row>
    <row r="137" spans="4:5" x14ac:dyDescent="0.3">
      <c r="D137" s="1"/>
      <c r="E137" s="2"/>
    </row>
    <row r="138" spans="4:5" x14ac:dyDescent="0.3">
      <c r="D138" s="1"/>
      <c r="E138" s="2"/>
    </row>
    <row r="139" spans="4:5" x14ac:dyDescent="0.3">
      <c r="D139" s="1"/>
      <c r="E139" s="2"/>
    </row>
    <row r="140" spans="4:5" x14ac:dyDescent="0.3">
      <c r="D140" s="1"/>
      <c r="E140" s="2"/>
    </row>
    <row r="141" spans="4:5" x14ac:dyDescent="0.3">
      <c r="D141" s="1"/>
      <c r="E141" s="2"/>
    </row>
    <row r="142" spans="4:5" x14ac:dyDescent="0.3">
      <c r="D142" s="1"/>
      <c r="E142" s="2"/>
    </row>
    <row r="143" spans="4:5" x14ac:dyDescent="0.3">
      <c r="D143" s="1"/>
      <c r="E143" s="2"/>
    </row>
    <row r="144" spans="4:5" x14ac:dyDescent="0.3">
      <c r="D144" s="1"/>
      <c r="E144" s="2"/>
    </row>
    <row r="145" spans="4:5" x14ac:dyDescent="0.3">
      <c r="D145" s="1"/>
      <c r="E145" s="2"/>
    </row>
    <row r="146" spans="4:5" x14ac:dyDescent="0.3">
      <c r="D146" s="1"/>
      <c r="E146" s="2"/>
    </row>
    <row r="147" spans="4:5" x14ac:dyDescent="0.3">
      <c r="D147" s="1"/>
      <c r="E147" s="2"/>
    </row>
    <row r="148" spans="4:5" x14ac:dyDescent="0.3">
      <c r="D148" s="1"/>
      <c r="E148" s="2"/>
    </row>
    <row r="149" spans="4:5" x14ac:dyDescent="0.3">
      <c r="D149" s="1"/>
      <c r="E149" s="2"/>
    </row>
    <row r="150" spans="4:5" x14ac:dyDescent="0.3">
      <c r="D150" s="1"/>
      <c r="E150" s="2"/>
    </row>
    <row r="151" spans="4:5" x14ac:dyDescent="0.3">
      <c r="D151" s="1"/>
      <c r="E151" s="2"/>
    </row>
    <row r="152" spans="4:5" x14ac:dyDescent="0.3">
      <c r="D152" s="1"/>
      <c r="E152" s="2"/>
    </row>
    <row r="153" spans="4:5" x14ac:dyDescent="0.3">
      <c r="D153" s="1"/>
      <c r="E153" s="2"/>
    </row>
    <row r="154" spans="4:5" x14ac:dyDescent="0.3">
      <c r="D154" s="1"/>
      <c r="E154" s="2"/>
    </row>
    <row r="155" spans="4:5" x14ac:dyDescent="0.3">
      <c r="D155" s="1"/>
      <c r="E155" s="2"/>
    </row>
    <row r="156" spans="4:5" x14ac:dyDescent="0.3">
      <c r="D156" s="1"/>
      <c r="E156" s="2"/>
    </row>
    <row r="157" spans="4:5" x14ac:dyDescent="0.3">
      <c r="D157" s="1"/>
      <c r="E157" s="2"/>
    </row>
    <row r="158" spans="4:5" x14ac:dyDescent="0.3">
      <c r="D158" s="1"/>
      <c r="E158" s="2"/>
    </row>
    <row r="159" spans="4:5" x14ac:dyDescent="0.3">
      <c r="D159" s="1"/>
      <c r="E159" s="2"/>
    </row>
    <row r="160" spans="4:5" x14ac:dyDescent="0.3">
      <c r="D160" s="1"/>
      <c r="E160" s="2"/>
    </row>
    <row r="161" spans="4:5" x14ac:dyDescent="0.3">
      <c r="D161" s="1"/>
      <c r="E161" s="2"/>
    </row>
    <row r="162" spans="4:5" x14ac:dyDescent="0.3">
      <c r="D162" s="1"/>
      <c r="E162" s="2"/>
    </row>
    <row r="163" spans="4:5" x14ac:dyDescent="0.3">
      <c r="D163" s="1"/>
      <c r="E163" s="2"/>
    </row>
    <row r="164" spans="4:5" x14ac:dyDescent="0.3">
      <c r="D164" s="1"/>
      <c r="E164" s="2"/>
    </row>
    <row r="165" spans="4:5" x14ac:dyDescent="0.3">
      <c r="D165" s="1"/>
      <c r="E165" s="2"/>
    </row>
    <row r="166" spans="4:5" x14ac:dyDescent="0.3">
      <c r="D166" s="1"/>
      <c r="E166" s="2"/>
    </row>
    <row r="167" spans="4:5" x14ac:dyDescent="0.3">
      <c r="D167" s="1"/>
      <c r="E167" s="2"/>
    </row>
    <row r="168" spans="4:5" x14ac:dyDescent="0.3">
      <c r="D168" s="1"/>
      <c r="E168" s="2"/>
    </row>
    <row r="169" spans="4:5" x14ac:dyDescent="0.3">
      <c r="D169" s="1"/>
      <c r="E169" s="2"/>
    </row>
    <row r="170" spans="4:5" x14ac:dyDescent="0.3">
      <c r="D170" s="1"/>
      <c r="E170" s="2"/>
    </row>
    <row r="171" spans="4:5" x14ac:dyDescent="0.3">
      <c r="D171" s="1"/>
      <c r="E171" s="2"/>
    </row>
    <row r="172" spans="4:5" x14ac:dyDescent="0.3">
      <c r="D172" s="1"/>
      <c r="E172" s="2"/>
    </row>
    <row r="173" spans="4:5" x14ac:dyDescent="0.3">
      <c r="D173" s="1"/>
      <c r="E173" s="2"/>
    </row>
    <row r="174" spans="4:5" x14ac:dyDescent="0.3">
      <c r="D174" s="1"/>
      <c r="E174" s="2"/>
    </row>
    <row r="175" spans="4:5" x14ac:dyDescent="0.3">
      <c r="D175" s="1"/>
      <c r="E175" s="2"/>
    </row>
    <row r="176" spans="4:5" x14ac:dyDescent="0.3">
      <c r="D176" s="1"/>
      <c r="E176" s="2"/>
    </row>
    <row r="177" spans="4:5" x14ac:dyDescent="0.3">
      <c r="D177" s="1"/>
      <c r="E177" s="2"/>
    </row>
    <row r="178" spans="4:5" x14ac:dyDescent="0.3">
      <c r="D178" s="1"/>
      <c r="E178" s="2"/>
    </row>
    <row r="179" spans="4:5" x14ac:dyDescent="0.3">
      <c r="D179" s="1"/>
      <c r="E179" s="2"/>
    </row>
    <row r="180" spans="4:5" x14ac:dyDescent="0.3">
      <c r="D180" s="1"/>
      <c r="E180" s="2"/>
    </row>
    <row r="181" spans="4:5" x14ac:dyDescent="0.3">
      <c r="D181" s="1"/>
      <c r="E181" s="2"/>
    </row>
    <row r="182" spans="4:5" x14ac:dyDescent="0.3">
      <c r="D182" s="1"/>
      <c r="E182" s="2"/>
    </row>
    <row r="183" spans="4:5" x14ac:dyDescent="0.3">
      <c r="D183" s="1"/>
      <c r="E183" s="2"/>
    </row>
    <row r="184" spans="4:5" x14ac:dyDescent="0.3">
      <c r="D184" s="1"/>
      <c r="E184" s="2"/>
    </row>
    <row r="185" spans="4:5" x14ac:dyDescent="0.3">
      <c r="D185" s="1"/>
      <c r="E185" s="2"/>
    </row>
    <row r="186" spans="4:5" x14ac:dyDescent="0.3">
      <c r="D186" s="1"/>
      <c r="E186" s="2"/>
    </row>
    <row r="187" spans="4:5" x14ac:dyDescent="0.3">
      <c r="D187" s="1"/>
      <c r="E187" s="2"/>
    </row>
    <row r="188" spans="4:5" x14ac:dyDescent="0.3">
      <c r="D188" s="1"/>
      <c r="E188" s="2"/>
    </row>
    <row r="189" spans="4:5" x14ac:dyDescent="0.3">
      <c r="D189" s="1"/>
      <c r="E189" s="2"/>
    </row>
    <row r="190" spans="4:5" x14ac:dyDescent="0.3">
      <c r="D190" s="1"/>
      <c r="E190" s="2"/>
    </row>
    <row r="191" spans="4:5" x14ac:dyDescent="0.3">
      <c r="D191" s="1"/>
      <c r="E191" s="2"/>
    </row>
    <row r="192" spans="4:5" x14ac:dyDescent="0.3">
      <c r="D192" s="1"/>
      <c r="E192" s="2"/>
    </row>
    <row r="193" spans="4:5" x14ac:dyDescent="0.3">
      <c r="D193" s="1"/>
      <c r="E193" s="2"/>
    </row>
    <row r="194" spans="4:5" x14ac:dyDescent="0.3">
      <c r="D194" s="1"/>
      <c r="E194" s="2"/>
    </row>
    <row r="195" spans="4:5" x14ac:dyDescent="0.3">
      <c r="D195" s="1"/>
      <c r="E195" s="2"/>
    </row>
    <row r="196" spans="4:5" x14ac:dyDescent="0.3">
      <c r="D196" s="1"/>
      <c r="E196" s="2"/>
    </row>
    <row r="197" spans="4:5" x14ac:dyDescent="0.3">
      <c r="D197" s="1"/>
      <c r="E197" s="2"/>
    </row>
    <row r="198" spans="4:5" x14ac:dyDescent="0.3">
      <c r="D198" s="1"/>
      <c r="E198" s="2"/>
    </row>
    <row r="199" spans="4:5" x14ac:dyDescent="0.3">
      <c r="D199" s="1"/>
      <c r="E199" s="2"/>
    </row>
    <row r="200" spans="4:5" x14ac:dyDescent="0.3">
      <c r="D200" s="1"/>
      <c r="E200" s="2"/>
    </row>
    <row r="201" spans="4:5" x14ac:dyDescent="0.3">
      <c r="D201" s="1"/>
      <c r="E201" s="2"/>
    </row>
    <row r="202" spans="4:5" x14ac:dyDescent="0.3">
      <c r="D202" s="1"/>
      <c r="E202" s="2"/>
    </row>
    <row r="203" spans="4:5" x14ac:dyDescent="0.3">
      <c r="D203" s="1"/>
      <c r="E203" s="2"/>
    </row>
    <row r="204" spans="4:5" x14ac:dyDescent="0.3">
      <c r="D204" s="1"/>
      <c r="E204" s="2"/>
    </row>
    <row r="205" spans="4:5" x14ac:dyDescent="0.3">
      <c r="D205" s="1"/>
      <c r="E205" s="2"/>
    </row>
    <row r="206" spans="4:5" x14ac:dyDescent="0.3">
      <c r="D206" s="1"/>
      <c r="E206" s="2"/>
    </row>
    <row r="207" spans="4:5" x14ac:dyDescent="0.3">
      <c r="D207" s="1"/>
      <c r="E207" s="2"/>
    </row>
    <row r="208" spans="4:5" x14ac:dyDescent="0.3">
      <c r="D208" s="1"/>
      <c r="E208" s="2"/>
    </row>
    <row r="209" spans="4:5" x14ac:dyDescent="0.3">
      <c r="D209" s="1"/>
      <c r="E209" s="2"/>
    </row>
    <row r="210" spans="4:5" x14ac:dyDescent="0.3">
      <c r="D210" s="1"/>
      <c r="E210" s="2"/>
    </row>
    <row r="211" spans="4:5" x14ac:dyDescent="0.3">
      <c r="D211" s="1"/>
      <c r="E211" s="2"/>
    </row>
    <row r="212" spans="4:5" x14ac:dyDescent="0.3">
      <c r="D212" s="1"/>
      <c r="E212" s="2"/>
    </row>
    <row r="213" spans="4:5" x14ac:dyDescent="0.3">
      <c r="D213" s="1"/>
      <c r="E213" s="2"/>
    </row>
    <row r="214" spans="4:5" x14ac:dyDescent="0.3">
      <c r="D214" s="1"/>
      <c r="E214" s="2"/>
    </row>
    <row r="215" spans="4:5" x14ac:dyDescent="0.3">
      <c r="D215" s="1"/>
      <c r="E215" s="2"/>
    </row>
    <row r="216" spans="4:5" x14ac:dyDescent="0.3">
      <c r="D216" s="1"/>
      <c r="E216" s="2"/>
    </row>
    <row r="217" spans="4:5" x14ac:dyDescent="0.3">
      <c r="D217" s="1"/>
      <c r="E217" s="2"/>
    </row>
    <row r="218" spans="4:5" x14ac:dyDescent="0.3">
      <c r="D218" s="1"/>
      <c r="E218" s="2"/>
    </row>
    <row r="219" spans="4:5" x14ac:dyDescent="0.3">
      <c r="D219" s="1"/>
      <c r="E219" s="2"/>
    </row>
    <row r="220" spans="4:5" x14ac:dyDescent="0.3">
      <c r="D220" s="1"/>
      <c r="E220" s="2"/>
    </row>
    <row r="221" spans="4:5" x14ac:dyDescent="0.3">
      <c r="D221" s="1"/>
      <c r="E221" s="2"/>
    </row>
    <row r="222" spans="4:5" x14ac:dyDescent="0.3">
      <c r="D222" s="1"/>
      <c r="E222" s="2"/>
    </row>
    <row r="223" spans="4:5" x14ac:dyDescent="0.3">
      <c r="D223" s="1"/>
      <c r="E223" s="2"/>
    </row>
    <row r="224" spans="4:5" x14ac:dyDescent="0.3">
      <c r="D224" s="1"/>
      <c r="E224" s="2"/>
    </row>
    <row r="225" spans="4:5" x14ac:dyDescent="0.3">
      <c r="D225" s="1"/>
      <c r="E225" s="2"/>
    </row>
    <row r="226" spans="4:5" x14ac:dyDescent="0.3">
      <c r="D226" s="1"/>
      <c r="E226" s="2"/>
    </row>
    <row r="227" spans="4:5" x14ac:dyDescent="0.3">
      <c r="D227" s="1"/>
      <c r="E227" s="2"/>
    </row>
    <row r="228" spans="4:5" x14ac:dyDescent="0.3">
      <c r="D228" s="1"/>
      <c r="E228" s="2"/>
    </row>
    <row r="229" spans="4:5" x14ac:dyDescent="0.3">
      <c r="D229" s="1"/>
      <c r="E229" s="2"/>
    </row>
    <row r="230" spans="4:5" x14ac:dyDescent="0.3">
      <c r="D230" s="1"/>
      <c r="E230" s="2"/>
    </row>
    <row r="231" spans="4:5" x14ac:dyDescent="0.3">
      <c r="D231" s="1"/>
      <c r="E231" s="2"/>
    </row>
    <row r="232" spans="4:5" x14ac:dyDescent="0.3">
      <c r="D232" s="1"/>
      <c r="E232" s="2"/>
    </row>
    <row r="233" spans="4:5" x14ac:dyDescent="0.3">
      <c r="D233" s="1"/>
      <c r="E233" s="2"/>
    </row>
    <row r="234" spans="4:5" x14ac:dyDescent="0.3">
      <c r="D234" s="1"/>
      <c r="E234" s="2"/>
    </row>
    <row r="235" spans="4:5" x14ac:dyDescent="0.3">
      <c r="D235" s="1"/>
      <c r="E235" s="2"/>
    </row>
    <row r="236" spans="4:5" x14ac:dyDescent="0.3">
      <c r="D236" s="1"/>
      <c r="E236" s="2"/>
    </row>
    <row r="237" spans="4:5" x14ac:dyDescent="0.3">
      <c r="D237" s="1"/>
      <c r="E237" s="2"/>
    </row>
    <row r="238" spans="4:5" x14ac:dyDescent="0.3">
      <c r="D238" s="1"/>
      <c r="E238" s="2"/>
    </row>
    <row r="239" spans="4:5" x14ac:dyDescent="0.3">
      <c r="D239" s="1"/>
      <c r="E239" s="2"/>
    </row>
    <row r="240" spans="4:5" x14ac:dyDescent="0.3">
      <c r="D240" s="1"/>
      <c r="E240" s="2"/>
    </row>
    <row r="241" spans="4:5" x14ac:dyDescent="0.3">
      <c r="D241" s="1"/>
      <c r="E241" s="2"/>
    </row>
    <row r="242" spans="4:5" x14ac:dyDescent="0.3">
      <c r="D242" s="1"/>
      <c r="E242" s="2"/>
    </row>
    <row r="243" spans="4:5" x14ac:dyDescent="0.3">
      <c r="D243" s="1"/>
      <c r="E243" s="2"/>
    </row>
    <row r="244" spans="4:5" x14ac:dyDescent="0.3">
      <c r="D244" s="1"/>
      <c r="E24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9F39-DA79-4605-82B3-61C5FD2798E3}">
  <dimension ref="A1:L23"/>
  <sheetViews>
    <sheetView tabSelected="1" workbookViewId="0">
      <selection activeCell="P10" sqref="P10"/>
    </sheetView>
  </sheetViews>
  <sheetFormatPr defaultRowHeight="14.4" x14ac:dyDescent="0.3"/>
  <sheetData>
    <row r="1" spans="1:12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5.5941974006687625</v>
      </c>
      <c r="C2" t="e">
        <v>#NUM!</v>
      </c>
      <c r="D2">
        <v>5.6582007925554629</v>
      </c>
      <c r="E2" t="e">
        <v>#NUM!</v>
      </c>
      <c r="F2">
        <v>5.180283851882594</v>
      </c>
      <c r="G2">
        <v>6.2556950909779339</v>
      </c>
      <c r="H2">
        <v>5.2464947443239431</v>
      </c>
      <c r="I2" t="e">
        <v>#NUM!</v>
      </c>
      <c r="J2">
        <v>6.3879570114834019</v>
      </c>
      <c r="K2">
        <v>5.885622978752945</v>
      </c>
      <c r="L2">
        <v>4.767019744697051</v>
      </c>
    </row>
    <row r="3" spans="1:12" x14ac:dyDescent="0.3">
      <c r="A3" t="s">
        <v>12</v>
      </c>
      <c r="B3">
        <v>5.7594690923539344</v>
      </c>
      <c r="C3" t="e">
        <v>#NUM!</v>
      </c>
      <c r="D3">
        <v>6.2019329718513552</v>
      </c>
      <c r="E3" t="e">
        <v>#NUM!</v>
      </c>
      <c r="F3">
        <v>5.7168605071852472</v>
      </c>
      <c r="G3">
        <v>6.2805186615030202</v>
      </c>
      <c r="H3">
        <v>5.1605575874719882</v>
      </c>
      <c r="I3" t="e">
        <v>#NUM!</v>
      </c>
      <c r="J3">
        <v>6.0760968654261545</v>
      </c>
      <c r="K3">
        <v>5.8631355930428182</v>
      </c>
      <c r="L3" t="e">
        <v>#NUM!</v>
      </c>
    </row>
    <row r="4" spans="1:12" x14ac:dyDescent="0.3">
      <c r="A4" t="s">
        <v>13</v>
      </c>
      <c r="B4">
        <v>5.4700381527323456</v>
      </c>
      <c r="C4" t="e">
        <v>#NUM!</v>
      </c>
      <c r="D4">
        <v>6.035476206279677</v>
      </c>
      <c r="E4" t="e">
        <v>#NUM!</v>
      </c>
      <c r="F4">
        <v>5.3446456252953194</v>
      </c>
      <c r="G4">
        <v>5.9369094035166485</v>
      </c>
      <c r="H4">
        <v>5.2673360249636421</v>
      </c>
      <c r="I4" t="e">
        <v>#NUM!</v>
      </c>
      <c r="J4">
        <v>5.9733142433540509</v>
      </c>
      <c r="K4">
        <v>5.4909207111528895</v>
      </c>
      <c r="L4">
        <v>5.0359507006028652</v>
      </c>
    </row>
    <row r="5" spans="1:12" x14ac:dyDescent="0.3">
      <c r="A5" t="s">
        <v>14</v>
      </c>
      <c r="B5">
        <v>5.0009149189520956</v>
      </c>
      <c r="C5" t="e">
        <v>#NUM!</v>
      </c>
      <c r="D5">
        <v>5.7459884049972043</v>
      </c>
      <c r="E5" t="e">
        <v>#NUM!</v>
      </c>
      <c r="F5">
        <v>5.0194451370558255</v>
      </c>
      <c r="G5">
        <v>5.7874346650086084</v>
      </c>
      <c r="H5">
        <v>4.4631422173425666</v>
      </c>
      <c r="I5" t="e">
        <v>#NUM!</v>
      </c>
      <c r="J5">
        <v>5.7290784706823867</v>
      </c>
      <c r="K5">
        <v>5.2428255950286422</v>
      </c>
      <c r="L5">
        <v>4.4673548919378829</v>
      </c>
    </row>
    <row r="6" spans="1:12" x14ac:dyDescent="0.3">
      <c r="A6" t="s">
        <v>15</v>
      </c>
      <c r="B6">
        <v>5.6728413452808946</v>
      </c>
      <c r="C6" t="e">
        <v>#NUM!</v>
      </c>
      <c r="D6">
        <v>6.2988580819375732</v>
      </c>
      <c r="E6" t="e">
        <v>#NUM!</v>
      </c>
      <c r="F6">
        <v>5.6494201861114401</v>
      </c>
      <c r="G6">
        <v>6.407201538641468</v>
      </c>
      <c r="H6">
        <v>5.0931172663981812</v>
      </c>
      <c r="I6" t="e">
        <v>#NUM!</v>
      </c>
      <c r="J6">
        <v>6.243940733568726</v>
      </c>
      <c r="K6">
        <v>5.7956952719690111</v>
      </c>
      <c r="L6">
        <v>4.2465636036645087</v>
      </c>
    </row>
    <row r="7" spans="1:12" x14ac:dyDescent="0.3">
      <c r="A7" t="s">
        <v>16</v>
      </c>
      <c r="B7">
        <v>5.3785855344976037</v>
      </c>
      <c r="C7" t="e">
        <v>#NUM!</v>
      </c>
      <c r="D7">
        <v>5.9909907179355475</v>
      </c>
      <c r="E7" t="e">
        <v>#NUM!</v>
      </c>
      <c r="F7">
        <v>5.3415528221094153</v>
      </c>
      <c r="G7">
        <v>6.1194135815177919</v>
      </c>
      <c r="H7">
        <v>4.7852499023961563</v>
      </c>
      <c r="I7" t="e">
        <v>#NUM!</v>
      </c>
      <c r="J7">
        <v>6.060116189723959</v>
      </c>
      <c r="K7">
        <v>5.4878279079669854</v>
      </c>
      <c r="L7">
        <v>5.09714440208736</v>
      </c>
    </row>
    <row r="8" spans="1:12" x14ac:dyDescent="0.3">
      <c r="A8" t="s">
        <v>17</v>
      </c>
      <c r="B8">
        <v>5.1821079289842373</v>
      </c>
      <c r="C8" t="e">
        <v>#NUM!</v>
      </c>
      <c r="D8">
        <v>6.0701442586798615</v>
      </c>
      <c r="E8" t="e">
        <v>#NUM!</v>
      </c>
      <c r="F8">
        <v>5.4207063628537284</v>
      </c>
      <c r="G8">
        <v>6.0633340671477143</v>
      </c>
      <c r="H8">
        <v>4.8644034431404695</v>
      </c>
      <c r="I8" t="e">
        <v>#NUM!</v>
      </c>
      <c r="J8">
        <v>5.7799427210946357</v>
      </c>
      <c r="K8">
        <v>5.5669814487112994</v>
      </c>
      <c r="L8" t="e">
        <v>#NUM!</v>
      </c>
    </row>
    <row r="9" spans="1:12" x14ac:dyDescent="0.3">
      <c r="A9" t="s">
        <v>18</v>
      </c>
      <c r="B9">
        <v>5.0329024135671743</v>
      </c>
      <c r="C9" t="e">
        <v>#NUM!</v>
      </c>
      <c r="D9">
        <v>6.7543193463514495</v>
      </c>
      <c r="E9" t="e">
        <v>#NUM!</v>
      </c>
      <c r="F9">
        <v>5.1349879817680781</v>
      </c>
      <c r="G9">
        <v>6.0437526983847842</v>
      </c>
      <c r="H9">
        <v>4.5409509554457701</v>
      </c>
      <c r="I9" t="e">
        <v>#NUM!</v>
      </c>
      <c r="J9">
        <v>6.0006342123331704</v>
      </c>
      <c r="K9">
        <v>5.3789162324105737</v>
      </c>
      <c r="L9">
        <v>4.5667450914007448</v>
      </c>
    </row>
    <row r="10" spans="1:12" x14ac:dyDescent="0.3">
      <c r="A10" t="s">
        <v>19</v>
      </c>
      <c r="B10">
        <v>5.524687759312763</v>
      </c>
      <c r="C10" t="e">
        <v>#NUM!</v>
      </c>
      <c r="D10">
        <v>6.0020674162778294</v>
      </c>
      <c r="E10" t="e">
        <v>#NUM!</v>
      </c>
      <c r="F10">
        <v>5.6498086335967308</v>
      </c>
      <c r="G10">
        <v>6.5335161240766855</v>
      </c>
      <c r="H10">
        <v>5.054863404993494</v>
      </c>
      <c r="I10" t="e">
        <v>#NUM!</v>
      </c>
      <c r="J10">
        <v>6.2411052399790359</v>
      </c>
      <c r="K10">
        <v>5.7574414105643239</v>
      </c>
      <c r="L10">
        <v>5.0794826954055994</v>
      </c>
    </row>
    <row r="11" spans="1:12" x14ac:dyDescent="0.3">
      <c r="A11" t="s">
        <v>20</v>
      </c>
      <c r="B11">
        <v>5.148304960939404</v>
      </c>
      <c r="C11" t="e">
        <v>#NUM!</v>
      </c>
      <c r="D11">
        <v>6.1629944630537192</v>
      </c>
      <c r="E11" t="e">
        <v>#NUM!</v>
      </c>
      <c r="F11">
        <v>5.236804878488817</v>
      </c>
      <c r="G11">
        <v>6.4556527823599197</v>
      </c>
      <c r="H11">
        <v>4.680560414187438</v>
      </c>
      <c r="I11" t="e">
        <v>#NUM!</v>
      </c>
      <c r="J11">
        <v>6.2709779845266853</v>
      </c>
      <c r="K11">
        <v>5.038807185965485</v>
      </c>
      <c r="L11" t="e">
        <v>#NUM!</v>
      </c>
    </row>
    <row r="12" spans="1:12" x14ac:dyDescent="0.3">
      <c r="A12" t="s">
        <v>21</v>
      </c>
      <c r="B12">
        <v>5.007144202467253</v>
      </c>
      <c r="C12" t="e">
        <v>#NUM!</v>
      </c>
      <c r="D12">
        <v>6.3442326263848132</v>
      </c>
      <c r="E12" t="e">
        <v>#NUM!</v>
      </c>
      <c r="F12">
        <v>4.9929817911450405</v>
      </c>
      <c r="G12">
        <v>5.9365410875668827</v>
      </c>
      <c r="H12">
        <v>4.4366788714317815</v>
      </c>
      <c r="I12" t="e">
        <v>#NUM!</v>
      </c>
      <c r="J12">
        <v>5.6410968093069611</v>
      </c>
      <c r="K12">
        <v>5.1496583956353685</v>
      </c>
      <c r="L12">
        <v>2.939408055366465</v>
      </c>
    </row>
    <row r="13" spans="1:12" x14ac:dyDescent="0.3">
      <c r="A13" t="s">
        <v>22</v>
      </c>
      <c r="B13">
        <v>4.9590466284105341</v>
      </c>
      <c r="C13" t="e">
        <v>#NUM!</v>
      </c>
      <c r="D13">
        <v>5.5183249736992215</v>
      </c>
      <c r="E13" t="e">
        <v>#NUM!</v>
      </c>
      <c r="F13">
        <v>4.8688870778730893</v>
      </c>
      <c r="G13">
        <v>5.4402042202275673</v>
      </c>
      <c r="H13">
        <v>4.3125841581598303</v>
      </c>
      <c r="I13" t="e">
        <v>#NUM!</v>
      </c>
      <c r="J13">
        <v>5.2357824241507016</v>
      </c>
      <c r="K13">
        <v>5.0151621637306594</v>
      </c>
      <c r="L13">
        <v>2.957957258270195</v>
      </c>
    </row>
    <row r="14" spans="1:12" x14ac:dyDescent="0.3">
      <c r="A14" t="s">
        <v>23</v>
      </c>
      <c r="B14">
        <v>4.4652257943124205</v>
      </c>
      <c r="C14" t="e">
        <v>#NUM!</v>
      </c>
      <c r="D14">
        <v>4.6844964238123747</v>
      </c>
      <c r="E14" t="e">
        <v>#NUM!</v>
      </c>
      <c r="F14">
        <v>3.9638829368631305</v>
      </c>
      <c r="G14">
        <v>4.8783515612380786</v>
      </c>
      <c r="H14">
        <v>3.4097129207259269</v>
      </c>
      <c r="I14" t="e">
        <v>#NUM!</v>
      </c>
      <c r="J14">
        <v>5.2088809976981931</v>
      </c>
      <c r="K14">
        <v>4.448649500491574</v>
      </c>
      <c r="L14">
        <v>2.6001873210659512</v>
      </c>
    </row>
    <row r="15" spans="1:12" x14ac:dyDescent="0.3">
      <c r="A15" t="s">
        <v>24</v>
      </c>
      <c r="B15">
        <v>4.8700131664317068</v>
      </c>
      <c r="C15" t="e">
        <v>#NUM!</v>
      </c>
      <c r="D15">
        <v>4.6716844480524093</v>
      </c>
      <c r="E15" t="e">
        <v>#NUM!</v>
      </c>
      <c r="F15">
        <v>4.5926216812552738</v>
      </c>
      <c r="G15">
        <v>5.3355550221745771</v>
      </c>
      <c r="H15">
        <v>4.0362604787153948</v>
      </c>
      <c r="I15" t="e">
        <v>#NUM!</v>
      </c>
      <c r="J15">
        <v>4.7394873884569213</v>
      </c>
      <c r="K15">
        <v>4.8420097698781062</v>
      </c>
      <c r="L15">
        <v>3.8171752121340901</v>
      </c>
    </row>
    <row r="16" spans="1:12" x14ac:dyDescent="0.3">
      <c r="A16" t="s">
        <v>25</v>
      </c>
      <c r="B16">
        <v>5.168069474862425</v>
      </c>
      <c r="C16" t="e">
        <v>#NUM!</v>
      </c>
      <c r="D16">
        <v>5.7788078062609971</v>
      </c>
      <c r="E16" t="e">
        <v>#NUM!</v>
      </c>
      <c r="F16">
        <v>5.0744083327156169</v>
      </c>
      <c r="G16">
        <v>5.6986220528253702</v>
      </c>
      <c r="H16">
        <v>4.5181054130023579</v>
      </c>
      <c r="I16" t="e">
        <v>#NUM!</v>
      </c>
      <c r="J16">
        <v>5.6252460752642071</v>
      </c>
      <c r="K16">
        <v>5.275644996292435</v>
      </c>
      <c r="L16">
        <v>3.080955110096919</v>
      </c>
    </row>
    <row r="17" spans="1:12" x14ac:dyDescent="0.3">
      <c r="A17" t="s">
        <v>26</v>
      </c>
      <c r="B17">
        <v>4.8769374207049507</v>
      </c>
      <c r="C17" t="e">
        <v>#NUM!</v>
      </c>
      <c r="D17">
        <v>5.756503633420718</v>
      </c>
      <c r="E17" t="e">
        <v>#NUM!</v>
      </c>
      <c r="F17">
        <v>5.1070657375945858</v>
      </c>
      <c r="G17">
        <v>5.6791940088922148</v>
      </c>
      <c r="H17">
        <v>4.5507628178813269</v>
      </c>
      <c r="I17" t="e">
        <v>#NUM!</v>
      </c>
      <c r="J17">
        <v>5.4747722128153482</v>
      </c>
      <c r="K17">
        <v>5.2533408234521559</v>
      </c>
      <c r="L17">
        <v>3.2402607548385807</v>
      </c>
    </row>
    <row r="18" spans="1:12" x14ac:dyDescent="0.3">
      <c r="A18" t="s">
        <v>27</v>
      </c>
      <c r="B18">
        <v>4.9295654924739019</v>
      </c>
      <c r="C18" t="e">
        <v>#NUM!</v>
      </c>
      <c r="D18">
        <v>5.5933516867367983</v>
      </c>
      <c r="E18" t="e">
        <v>#NUM!</v>
      </c>
      <c r="F18">
        <v>4.4487817253560094</v>
      </c>
      <c r="G18">
        <v>5.5083631081427509</v>
      </c>
      <c r="H18">
        <v>3.8924788056427504</v>
      </c>
      <c r="I18" t="e">
        <v>#NUM!</v>
      </c>
      <c r="J18">
        <v>5.3665921697169114</v>
      </c>
      <c r="K18">
        <v>5.0901888767682362</v>
      </c>
      <c r="L18">
        <v>2.0436390212972659</v>
      </c>
    </row>
    <row r="19" spans="1:12" x14ac:dyDescent="0.3">
      <c r="A19" t="s">
        <v>28</v>
      </c>
      <c r="B19">
        <v>5.5779563949181412</v>
      </c>
      <c r="C19" t="e">
        <v>#NUM!</v>
      </c>
      <c r="D19">
        <v>5.5273471059536652</v>
      </c>
      <c r="E19" t="e">
        <v>#NUM!</v>
      </c>
      <c r="F19">
        <v>5.3742556646727673</v>
      </c>
      <c r="G19">
        <v>6.1917901362148182</v>
      </c>
      <c r="H19">
        <v>4.8179527449595083</v>
      </c>
      <c r="I19" t="e">
        <v>#NUM!</v>
      </c>
      <c r="J19">
        <v>6.1303335271558872</v>
      </c>
      <c r="K19">
        <v>5.7027454029829885</v>
      </c>
      <c r="L19">
        <v>4.6491442932209086</v>
      </c>
    </row>
    <row r="20" spans="1:12" x14ac:dyDescent="0.3">
      <c r="A20" t="s">
        <v>29</v>
      </c>
      <c r="B20">
        <v>4.851610248663623</v>
      </c>
      <c r="C20" t="e">
        <v>#NUM!</v>
      </c>
      <c r="D20">
        <v>5.392982855300577</v>
      </c>
      <c r="E20" t="e">
        <v>#NUM!</v>
      </c>
      <c r="F20">
        <v>4.4253838439413125</v>
      </c>
      <c r="G20">
        <v>5.4291608523834975</v>
      </c>
      <c r="H20">
        <v>3.8690809242280539</v>
      </c>
      <c r="I20" t="e">
        <v>#NUM!</v>
      </c>
      <c r="J20">
        <v>5.2247390563066318</v>
      </c>
      <c r="K20">
        <v>4.8898200453320149</v>
      </c>
      <c r="L20">
        <v>4.0932229197109944</v>
      </c>
    </row>
    <row r="21" spans="1:12" x14ac:dyDescent="0.3">
      <c r="A21" t="s">
        <v>30</v>
      </c>
      <c r="B21">
        <v>4.9858910630812634</v>
      </c>
      <c r="C21" t="e">
        <v>#NUM!</v>
      </c>
      <c r="D21">
        <v>5.6464584356268093</v>
      </c>
      <c r="E21" t="e">
        <v>#NUM!</v>
      </c>
      <c r="F21">
        <v>4.8218817469767279</v>
      </c>
      <c r="G21">
        <v>5.9271305022575991</v>
      </c>
      <c r="H21">
        <v>5.2567858426303333</v>
      </c>
      <c r="I21" t="e">
        <v>#NUM!</v>
      </c>
      <c r="J21">
        <v>5.6508343286865772</v>
      </c>
      <c r="K21">
        <v>5.1432956256582472</v>
      </c>
      <c r="L21" t="e">
        <v>#NUM!</v>
      </c>
    </row>
    <row r="22" spans="1:12" x14ac:dyDescent="0.3">
      <c r="A22" t="s">
        <v>31</v>
      </c>
      <c r="B22">
        <v>4.8969712060882653</v>
      </c>
      <c r="C22" t="e">
        <v>#NUM!</v>
      </c>
      <c r="D22">
        <v>5.6630306191981772</v>
      </c>
      <c r="E22" t="e">
        <v>#NUM!</v>
      </c>
      <c r="F22">
        <v>4.7322707917854592</v>
      </c>
      <c r="G22">
        <v>5.577250877689818</v>
      </c>
      <c r="H22">
        <v>4.1759678720722002</v>
      </c>
      <c r="I22" t="e">
        <v>#NUM!</v>
      </c>
      <c r="J22">
        <v>5.3728290816129523</v>
      </c>
      <c r="K22">
        <v>5.159867809229616</v>
      </c>
      <c r="L22" t="e">
        <v>#NUM!</v>
      </c>
    </row>
    <row r="23" spans="1:12" x14ac:dyDescent="0.3">
      <c r="A23" t="s">
        <v>32</v>
      </c>
      <c r="B23">
        <v>5.0665863647271694</v>
      </c>
      <c r="C23" t="e">
        <v>#NUM!</v>
      </c>
      <c r="D23">
        <v>6.3066681074777176</v>
      </c>
      <c r="E23" t="e">
        <v>#NUM!</v>
      </c>
      <c r="F23">
        <v>5.2060513375935233</v>
      </c>
      <c r="G23">
        <v>6.055163591772236</v>
      </c>
      <c r="H23">
        <v>4.6497484178802644</v>
      </c>
      <c r="I23" t="e">
        <v>#NUM!</v>
      </c>
      <c r="J23">
        <v>6.1806330665970952</v>
      </c>
      <c r="K23">
        <v>5.3523264234510934</v>
      </c>
      <c r="L23">
        <v>4.8079904992153057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1201-7E92-4CDE-A700-63394453CBA2}">
  <dimension ref="A1:L23"/>
  <sheetViews>
    <sheetView workbookViewId="0">
      <selection activeCell="F13" sqref="F13"/>
    </sheetView>
  </sheetViews>
  <sheetFormatPr defaultRowHeight="14.4" x14ac:dyDescent="0.3"/>
  <cols>
    <col min="1" max="1" width="33.44140625" bestFit="1" customWidth="1"/>
  </cols>
  <sheetData>
    <row r="1" spans="1:12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1287.7630053747475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253.95300000000026</v>
      </c>
      <c r="K2">
        <v>865.99999999999829</v>
      </c>
      <c r="L2">
        <v>0</v>
      </c>
    </row>
    <row r="3" spans="1:12" x14ac:dyDescent="0.3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15</v>
      </c>
      <c r="B6">
        <v>0</v>
      </c>
      <c r="C6">
        <v>0</v>
      </c>
      <c r="D6">
        <v>0</v>
      </c>
      <c r="E6">
        <v>0</v>
      </c>
      <c r="F6">
        <v>466.21387283236976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0.26801977621649764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18</v>
      </c>
      <c r="B9">
        <v>0</v>
      </c>
      <c r="C9">
        <v>0</v>
      </c>
      <c r="D9">
        <v>3.2258064516129039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33.250000000000007</v>
      </c>
    </row>
    <row r="11" spans="1:12" x14ac:dyDescent="0.3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139.09000000000003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22</v>
      </c>
      <c r="B13">
        <v>24.654464140112879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25</v>
      </c>
      <c r="B16">
        <v>955.89534055989316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27</v>
      </c>
      <c r="B18">
        <v>227.56893770175603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28</v>
      </c>
      <c r="B19">
        <v>251.87166302349127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8932-508B-45FF-A834-B8988ACDF276}">
  <dimension ref="A1:N242"/>
  <sheetViews>
    <sheetView workbookViewId="0">
      <selection sqref="A1:L23"/>
    </sheetView>
  </sheetViews>
  <sheetFormatPr defaultRowHeight="14.4" x14ac:dyDescent="0.3"/>
  <sheetData>
    <row r="1" spans="1:14" x14ac:dyDescent="0.3">
      <c r="A1" s="5" t="s">
        <v>49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N1" s="3"/>
    </row>
    <row r="2" spans="1:14" x14ac:dyDescent="0.3">
      <c r="A2" s="8" t="s">
        <v>11</v>
      </c>
      <c r="B2">
        <v>5.291612291469586</v>
      </c>
      <c r="C2">
        <v>5.7885552049309625</v>
      </c>
      <c r="D2">
        <v>7.1017420272792737</v>
      </c>
      <c r="E2">
        <v>7.0392237017744668</v>
      </c>
      <c r="F2">
        <v>3.5074532546438122</v>
      </c>
      <c r="G2">
        <v>5.526958214128407</v>
      </c>
      <c r="H2">
        <v>8.7701796950449431</v>
      </c>
      <c r="I2">
        <v>6.6782027086282314</v>
      </c>
      <c r="J2">
        <v>4.9229175210874487</v>
      </c>
      <c r="K2">
        <v>5.4673216874331994</v>
      </c>
      <c r="L2">
        <v>4.9659531492414475</v>
      </c>
      <c r="N2" s="3"/>
    </row>
    <row r="3" spans="1:14" x14ac:dyDescent="0.3">
      <c r="A3" s="8" t="s">
        <v>12</v>
      </c>
      <c r="B3">
        <v>5.456883983154758</v>
      </c>
      <c r="C3" t="e">
        <v>#NUM!</v>
      </c>
      <c r="D3">
        <v>7.645474206575166</v>
      </c>
      <c r="E3">
        <v>7.8733839262872927</v>
      </c>
      <c r="F3">
        <v>4.0440299099464658</v>
      </c>
      <c r="G3">
        <v>5.5517817846534934</v>
      </c>
      <c r="H3">
        <v>8.68424253819299</v>
      </c>
      <c r="I3">
        <v>6.6276321649701977</v>
      </c>
      <c r="J3">
        <v>4.6110573750302004</v>
      </c>
      <c r="K3">
        <v>5.4448343017230725</v>
      </c>
      <c r="L3" t="e">
        <v>#NUM!</v>
      </c>
      <c r="N3" s="3"/>
    </row>
    <row r="4" spans="1:14" x14ac:dyDescent="0.3">
      <c r="A4" s="8" t="s">
        <v>13</v>
      </c>
      <c r="B4">
        <v>5.1674530435331683</v>
      </c>
      <c r="C4">
        <v>5.9391750853002439</v>
      </c>
      <c r="D4">
        <v>7.4790174410034878</v>
      </c>
      <c r="E4">
        <v>7.501169044397364</v>
      </c>
      <c r="F4">
        <v>3.671815028056538</v>
      </c>
      <c r="G4">
        <v>5.2081725266671217</v>
      </c>
      <c r="H4">
        <v>8.791020975684642</v>
      </c>
      <c r="I4">
        <v>6.3227022540666367</v>
      </c>
      <c r="J4">
        <v>4.5082747529580969</v>
      </c>
      <c r="K4">
        <v>5.0726194198331447</v>
      </c>
      <c r="L4">
        <v>5.2348841051472625</v>
      </c>
      <c r="N4" s="3"/>
    </row>
    <row r="5" spans="1:14" x14ac:dyDescent="0.3">
      <c r="A5" s="8" t="s">
        <v>14</v>
      </c>
      <c r="B5">
        <v>4.6983298097529191</v>
      </c>
      <c r="C5">
        <v>5.4434101739017624</v>
      </c>
      <c r="D5">
        <v>7.1895296397210151</v>
      </c>
      <c r="E5">
        <v>7.2530739282731167</v>
      </c>
      <c r="F5">
        <v>3.3466145398170442</v>
      </c>
      <c r="G5">
        <v>5.0586977881590816</v>
      </c>
      <c r="H5">
        <v>7.9868271680635674</v>
      </c>
      <c r="I5">
        <v>6.0073221669560226</v>
      </c>
      <c r="J5">
        <v>4.2640389802864327</v>
      </c>
      <c r="K5">
        <v>4.8245243037088974</v>
      </c>
      <c r="L5">
        <v>4.6662882964822794</v>
      </c>
      <c r="N5" s="3"/>
    </row>
    <row r="6" spans="1:14" x14ac:dyDescent="0.3">
      <c r="A6" s="8" t="s">
        <v>15</v>
      </c>
      <c r="B6">
        <v>5.3702562360817181</v>
      </c>
      <c r="C6">
        <v>5.2229358213284671</v>
      </c>
      <c r="D6">
        <v>7.742399316661384</v>
      </c>
      <c r="E6">
        <v>7.8059436052134856</v>
      </c>
      <c r="F6">
        <v>3.9765895888726592</v>
      </c>
      <c r="G6">
        <v>5.6784646617919412</v>
      </c>
      <c r="H6">
        <v>8.6168022171191829</v>
      </c>
      <c r="I6">
        <v>6.6001757766445222</v>
      </c>
      <c r="J6">
        <v>4.778901243172772</v>
      </c>
      <c r="K6">
        <v>5.3773939806492654</v>
      </c>
      <c r="L6">
        <v>4.4454970082089051</v>
      </c>
      <c r="N6" s="3"/>
    </row>
    <row r="7" spans="1:14" x14ac:dyDescent="0.3">
      <c r="A7" s="8" t="s">
        <v>16</v>
      </c>
      <c r="B7">
        <v>5.0760004252984272</v>
      </c>
      <c r="C7">
        <v>5.799441708184041</v>
      </c>
      <c r="D7">
        <v>7.4345319526593583</v>
      </c>
      <c r="E7">
        <v>7.4980762412114599</v>
      </c>
      <c r="F7">
        <v>3.6687222248706335</v>
      </c>
      <c r="G7">
        <v>5.3906767046682651</v>
      </c>
      <c r="H7">
        <v>8.3089348531171563</v>
      </c>
      <c r="I7">
        <v>6.2523244798943658</v>
      </c>
      <c r="J7">
        <v>4.5950766993280059</v>
      </c>
      <c r="K7">
        <v>5.0695266166472397</v>
      </c>
      <c r="L7">
        <v>5.2960778066317573</v>
      </c>
      <c r="N7" s="3"/>
    </row>
    <row r="8" spans="1:14" x14ac:dyDescent="0.3">
      <c r="A8" s="8" t="s">
        <v>17</v>
      </c>
      <c r="B8">
        <v>4.8795228197850609</v>
      </c>
      <c r="C8" t="e">
        <v>#NUM!</v>
      </c>
      <c r="D8">
        <v>7.5136854934036723</v>
      </c>
      <c r="E8">
        <v>7.5772297819557739</v>
      </c>
      <c r="F8">
        <v>3.7478757656149471</v>
      </c>
      <c r="G8">
        <v>5.3345971902981875</v>
      </c>
      <c r="H8">
        <v>8.3880883938614712</v>
      </c>
      <c r="I8">
        <v>6.3314780206386789</v>
      </c>
      <c r="J8">
        <v>4.3149032306986825</v>
      </c>
      <c r="K8">
        <v>5.1486801573915537</v>
      </c>
      <c r="L8" t="e">
        <v>#NUM!</v>
      </c>
      <c r="N8" s="3"/>
    </row>
    <row r="9" spans="1:14" x14ac:dyDescent="0.3">
      <c r="A9" s="8" t="s">
        <v>18</v>
      </c>
      <c r="B9">
        <v>4.7303173043679978</v>
      </c>
      <c r="C9">
        <v>5.7522269484399029</v>
      </c>
      <c r="D9">
        <v>8.1978605810752612</v>
      </c>
      <c r="E9">
        <v>7.4171015918513961</v>
      </c>
      <c r="F9">
        <v>3.4621573845292963</v>
      </c>
      <c r="G9">
        <v>5.3150158215352574</v>
      </c>
      <c r="H9">
        <v>8.064635906166771</v>
      </c>
      <c r="I9">
        <v>6.1434128043379532</v>
      </c>
      <c r="J9">
        <v>4.5355947219372164</v>
      </c>
      <c r="K9">
        <v>4.960614941090828</v>
      </c>
      <c r="L9">
        <v>4.7656784959451421</v>
      </c>
      <c r="N9" s="3"/>
    </row>
    <row r="10" spans="1:14" x14ac:dyDescent="0.3">
      <c r="A10" s="8" t="s">
        <v>19</v>
      </c>
      <c r="B10">
        <v>5.2221026501135865</v>
      </c>
      <c r="C10">
        <v>6.2630761551102863</v>
      </c>
      <c r="D10">
        <v>7.4456086510016402</v>
      </c>
      <c r="E10">
        <v>7.8063320526987754</v>
      </c>
      <c r="F10">
        <v>3.976978036357949</v>
      </c>
      <c r="G10">
        <v>5.8047792472271587</v>
      </c>
      <c r="H10">
        <v>8.5785483557144957</v>
      </c>
      <c r="I10">
        <v>6.6713066141441013</v>
      </c>
      <c r="J10">
        <v>4.7760657495830818</v>
      </c>
      <c r="K10">
        <v>5.3391401192445782</v>
      </c>
      <c r="L10">
        <v>5.2784160999499967</v>
      </c>
      <c r="N10" s="3"/>
    </row>
    <row r="11" spans="1:14" x14ac:dyDescent="0.3">
      <c r="A11" s="8" t="s">
        <v>20</v>
      </c>
      <c r="B11">
        <v>4.8457198517402276</v>
      </c>
      <c r="C11" t="e">
        <v>#NUM!</v>
      </c>
      <c r="D11">
        <v>7.60653569777753</v>
      </c>
      <c r="E11">
        <v>7.7015186688514659</v>
      </c>
      <c r="F11">
        <v>3.5639742812500357</v>
      </c>
      <c r="G11">
        <v>5.7269159055103929</v>
      </c>
      <c r="H11">
        <v>8.2042453649084379</v>
      </c>
      <c r="I11">
        <v>6.7404594079492393</v>
      </c>
      <c r="J11">
        <v>4.8059384941307313</v>
      </c>
      <c r="K11">
        <v>4.6205058946457394</v>
      </c>
      <c r="L11" t="e">
        <v>#NUM!</v>
      </c>
    </row>
    <row r="12" spans="1:14" x14ac:dyDescent="0.3">
      <c r="A12" s="8" t="s">
        <v>21</v>
      </c>
      <c r="B12">
        <v>4.7045590932680765</v>
      </c>
      <c r="C12">
        <v>3.9157802730304239</v>
      </c>
      <c r="D12">
        <v>7.787773861108624</v>
      </c>
      <c r="E12">
        <v>7.159906728879843</v>
      </c>
      <c r="F12">
        <v>3.3201511939062587</v>
      </c>
      <c r="G12">
        <v>5.207804210717355</v>
      </c>
      <c r="H12">
        <v>7.9603638221527824</v>
      </c>
      <c r="I12">
        <v>5.9141549675627489</v>
      </c>
      <c r="J12">
        <v>4.1760573189110071</v>
      </c>
      <c r="K12">
        <v>4.7313571043156237</v>
      </c>
      <c r="L12">
        <v>3.1383414599108623</v>
      </c>
    </row>
    <row r="13" spans="1:14" x14ac:dyDescent="0.3">
      <c r="A13" s="8" t="s">
        <v>22</v>
      </c>
      <c r="B13">
        <v>4.6564615192113576</v>
      </c>
      <c r="C13">
        <v>3.9343294759341538</v>
      </c>
      <c r="D13">
        <v>6.9618662084230323</v>
      </c>
      <c r="E13">
        <v>7.0254104969751339</v>
      </c>
      <c r="F13">
        <v>3.1960564806343079</v>
      </c>
      <c r="G13">
        <v>4.7114673433780405</v>
      </c>
      <c r="H13">
        <v>7.8362691088808312</v>
      </c>
      <c r="I13">
        <v>5.7796587356580398</v>
      </c>
      <c r="J13">
        <v>3.7707429337547476</v>
      </c>
      <c r="K13">
        <v>4.5968608724109146</v>
      </c>
      <c r="L13">
        <v>3.1568906628145919</v>
      </c>
    </row>
    <row r="14" spans="1:14" x14ac:dyDescent="0.3">
      <c r="A14" s="8" t="s">
        <v>23</v>
      </c>
      <c r="B14">
        <v>4.162640685113244</v>
      </c>
      <c r="C14">
        <v>4.1945338739832527</v>
      </c>
      <c r="D14">
        <v>6.1280376585361855</v>
      </c>
      <c r="E14">
        <v>6.4571127623984896</v>
      </c>
      <c r="F14">
        <v>2.2910523396243492</v>
      </c>
      <c r="G14">
        <v>4.1496146843885517</v>
      </c>
      <c r="H14">
        <v>6.9333978714469282</v>
      </c>
      <c r="I14">
        <v>5.2131460724189536</v>
      </c>
      <c r="J14">
        <v>3.7438415073022395</v>
      </c>
      <c r="K14">
        <v>4.0303482091718283</v>
      </c>
      <c r="L14">
        <v>2.7991207256103481</v>
      </c>
    </row>
    <row r="15" spans="1:14" x14ac:dyDescent="0.3">
      <c r="A15" s="8" t="s">
        <v>24</v>
      </c>
      <c r="B15">
        <v>4.5674280572325303</v>
      </c>
      <c r="C15">
        <v>4.7937272246596123</v>
      </c>
      <c r="D15">
        <v>6.1152256827762201</v>
      </c>
      <c r="E15">
        <v>6.8520282325398032</v>
      </c>
      <c r="F15">
        <v>2.919791084016492</v>
      </c>
      <c r="G15">
        <v>4.6068181453250494</v>
      </c>
      <c r="H15">
        <v>7.5599454294363966</v>
      </c>
      <c r="I15">
        <v>5.6065063418054866</v>
      </c>
      <c r="J15">
        <v>3.2744478980609677</v>
      </c>
      <c r="K15">
        <v>4.4237084785583614</v>
      </c>
      <c r="L15">
        <v>4.016108616678487</v>
      </c>
    </row>
    <row r="16" spans="1:14" x14ac:dyDescent="0.3">
      <c r="A16" s="8" t="s">
        <v>25</v>
      </c>
      <c r="B16">
        <v>4.8654843656632485</v>
      </c>
      <c r="C16">
        <v>4.0573273277608788</v>
      </c>
      <c r="D16">
        <v>7.2223490409848079</v>
      </c>
      <c r="E16">
        <v>7.2858933295369095</v>
      </c>
      <c r="F16">
        <v>3.4015777354768355</v>
      </c>
      <c r="G16">
        <v>4.9698851759758433</v>
      </c>
      <c r="H16">
        <v>8.0417903637233596</v>
      </c>
      <c r="I16">
        <v>6.0401415682198154</v>
      </c>
      <c r="J16">
        <v>4.160206584868253</v>
      </c>
      <c r="K16">
        <v>4.8573437049726893</v>
      </c>
      <c r="L16">
        <v>3.2798885146413159</v>
      </c>
    </row>
    <row r="17" spans="1:12" x14ac:dyDescent="0.3">
      <c r="A17" s="8" t="s">
        <v>26</v>
      </c>
      <c r="B17">
        <v>4.5743523115057743</v>
      </c>
      <c r="C17">
        <v>4.2166329725025395</v>
      </c>
      <c r="D17">
        <v>7.2000448681445288</v>
      </c>
      <c r="E17">
        <v>7.2635891566966304</v>
      </c>
      <c r="F17">
        <v>3.434235140355804</v>
      </c>
      <c r="G17">
        <v>4.9504571320426871</v>
      </c>
      <c r="H17">
        <v>8.0744477686023277</v>
      </c>
      <c r="I17">
        <v>6.0178373953795363</v>
      </c>
      <c r="J17">
        <v>4.009732722419395</v>
      </c>
      <c r="K17">
        <v>4.8350395321324102</v>
      </c>
      <c r="L17">
        <v>3.4391941593829776</v>
      </c>
    </row>
    <row r="18" spans="1:12" x14ac:dyDescent="0.3">
      <c r="A18" s="8" t="s">
        <v>27</v>
      </c>
      <c r="B18">
        <v>4.6269803832747254</v>
      </c>
      <c r="C18">
        <v>3.0918715320861048</v>
      </c>
      <c r="D18">
        <v>7.0368929214606091</v>
      </c>
      <c r="E18">
        <v>7.1004372100127107</v>
      </c>
      <c r="F18">
        <v>2.775951128117228</v>
      </c>
      <c r="G18">
        <v>4.7796262312932241</v>
      </c>
      <c r="H18">
        <v>7.4161637563637512</v>
      </c>
      <c r="I18">
        <v>5.8546854486956166</v>
      </c>
      <c r="J18">
        <v>3.9015526793209578</v>
      </c>
      <c r="K18">
        <v>4.6718875854484914</v>
      </c>
      <c r="L18">
        <v>2.2425724258416633</v>
      </c>
    </row>
    <row r="19" spans="1:12" x14ac:dyDescent="0.3">
      <c r="A19" s="8" t="s">
        <v>28</v>
      </c>
      <c r="B19">
        <v>5.2753712857189647</v>
      </c>
      <c r="C19">
        <v>5.6255165108848679</v>
      </c>
      <c r="D19">
        <v>6.970888340677476</v>
      </c>
      <c r="E19">
        <v>7.712993736227463</v>
      </c>
      <c r="F19">
        <v>3.7014250674339855</v>
      </c>
      <c r="G19">
        <v>5.4630532593652914</v>
      </c>
      <c r="H19">
        <v>8.3416376956805092</v>
      </c>
      <c r="I19">
        <v>6.467241974910368</v>
      </c>
      <c r="J19">
        <v>4.6652940367599331</v>
      </c>
      <c r="K19">
        <v>5.2844441116632428</v>
      </c>
      <c r="L19">
        <v>4.8480776977653059</v>
      </c>
    </row>
    <row r="20" spans="1:12" x14ac:dyDescent="0.3">
      <c r="A20" s="8" t="s">
        <v>29</v>
      </c>
      <c r="B20">
        <v>4.5490251394644465</v>
      </c>
      <c r="C20">
        <v>5.0695951373749528</v>
      </c>
      <c r="D20">
        <v>6.8365240900243878</v>
      </c>
      <c r="E20">
        <v>6.9000683785764894</v>
      </c>
      <c r="F20">
        <v>2.7525532467025311</v>
      </c>
      <c r="G20">
        <v>4.7004239755339707</v>
      </c>
      <c r="H20">
        <v>7.3927658749490552</v>
      </c>
      <c r="I20">
        <v>5.6543166172593953</v>
      </c>
      <c r="J20">
        <v>3.7596995659106782</v>
      </c>
      <c r="K20">
        <v>4.4715187540122701</v>
      </c>
      <c r="L20">
        <v>4.2921563242553908</v>
      </c>
    </row>
    <row r="21" spans="1:12" x14ac:dyDescent="0.3">
      <c r="A21" s="8" t="s">
        <v>30</v>
      </c>
      <c r="B21">
        <v>4.6833059538820869</v>
      </c>
      <c r="C21" t="e">
        <v>#NUM!</v>
      </c>
      <c r="D21">
        <v>7.0899996703506201</v>
      </c>
      <c r="E21">
        <v>7.1535439589027217</v>
      </c>
      <c r="F21">
        <v>3.1490511497379465</v>
      </c>
      <c r="G21">
        <v>5.1983936254080723</v>
      </c>
      <c r="H21">
        <v>8.7804707933513342</v>
      </c>
      <c r="I21">
        <v>5.8766713142076981</v>
      </c>
      <c r="J21">
        <v>4.185794838290624</v>
      </c>
      <c r="K21">
        <v>4.7249943343385015</v>
      </c>
      <c r="L21" t="e">
        <v>#NUM!</v>
      </c>
    </row>
    <row r="22" spans="1:12" x14ac:dyDescent="0.3">
      <c r="A22" s="8" t="s">
        <v>31</v>
      </c>
      <c r="B22">
        <v>4.5943860968890888</v>
      </c>
      <c r="C22" t="e">
        <v>#NUM!</v>
      </c>
      <c r="D22">
        <v>7.1065718539219889</v>
      </c>
      <c r="E22">
        <v>7.1701161424740905</v>
      </c>
      <c r="F22">
        <v>3.0594401945466778</v>
      </c>
      <c r="G22">
        <v>4.8485140008402912</v>
      </c>
      <c r="H22">
        <v>7.6996528227932011</v>
      </c>
      <c r="I22">
        <v>5.9243643811569955</v>
      </c>
      <c r="J22">
        <v>3.9077895912169986</v>
      </c>
      <c r="K22">
        <v>4.7415665179098703</v>
      </c>
      <c r="L22" t="e">
        <v>#NUM!</v>
      </c>
    </row>
    <row r="23" spans="1:12" ht="15" thickBot="1" x14ac:dyDescent="0.35">
      <c r="A23" s="11" t="s">
        <v>32</v>
      </c>
      <c r="B23">
        <v>4.7640012555279929</v>
      </c>
      <c r="C23">
        <v>5.989540268338164</v>
      </c>
      <c r="D23">
        <v>7.7502093422015284</v>
      </c>
      <c r="E23">
        <v>7.3625747566955679</v>
      </c>
      <c r="F23">
        <v>3.5332207403547415</v>
      </c>
      <c r="G23">
        <v>5.3264267149227091</v>
      </c>
      <c r="H23">
        <v>8.1734333686012661</v>
      </c>
      <c r="I23">
        <v>6.1168229953784738</v>
      </c>
      <c r="J23">
        <v>4.7155935762011421</v>
      </c>
      <c r="K23">
        <v>4.9340251321313486</v>
      </c>
      <c r="L23">
        <v>5.0069239037597031</v>
      </c>
    </row>
    <row r="24" spans="1:12" x14ac:dyDescent="0.3">
      <c r="D24" s="1"/>
      <c r="E24" s="2"/>
    </row>
    <row r="25" spans="1:12" x14ac:dyDescent="0.3">
      <c r="D25" s="1"/>
      <c r="E25" s="2"/>
    </row>
    <row r="26" spans="1:12" x14ac:dyDescent="0.3">
      <c r="D26" s="1"/>
      <c r="E26" s="2"/>
    </row>
    <row r="27" spans="1:12" x14ac:dyDescent="0.3">
      <c r="D27" s="1"/>
      <c r="E27" s="2"/>
    </row>
    <row r="28" spans="1:12" x14ac:dyDescent="0.3">
      <c r="D28" s="1"/>
      <c r="E28" s="2"/>
    </row>
    <row r="29" spans="1:12" x14ac:dyDescent="0.3">
      <c r="D29" s="1"/>
      <c r="E29" s="2"/>
    </row>
    <row r="30" spans="1:12" x14ac:dyDescent="0.3">
      <c r="D30" s="1"/>
      <c r="E30" s="2"/>
    </row>
    <row r="31" spans="1:12" x14ac:dyDescent="0.3">
      <c r="D31" s="1"/>
      <c r="E31" s="2"/>
    </row>
    <row r="32" spans="1:12" x14ac:dyDescent="0.3">
      <c r="D32" s="1"/>
      <c r="E32" s="2"/>
    </row>
    <row r="33" spans="4:5" x14ac:dyDescent="0.3">
      <c r="D33" s="1"/>
      <c r="E33" s="2"/>
    </row>
    <row r="34" spans="4:5" x14ac:dyDescent="0.3">
      <c r="D34" s="1"/>
      <c r="E34" s="2"/>
    </row>
    <row r="35" spans="4:5" x14ac:dyDescent="0.3">
      <c r="D35" s="1"/>
      <c r="E35" s="2"/>
    </row>
    <row r="36" spans="4:5" x14ac:dyDescent="0.3">
      <c r="D36" s="1"/>
      <c r="E36" s="2"/>
    </row>
    <row r="37" spans="4:5" x14ac:dyDescent="0.3">
      <c r="D37" s="1"/>
      <c r="E37" s="2"/>
    </row>
    <row r="38" spans="4:5" x14ac:dyDescent="0.3">
      <c r="D38" s="1"/>
      <c r="E38" s="2"/>
    </row>
    <row r="39" spans="4:5" x14ac:dyDescent="0.3">
      <c r="D39" s="1"/>
      <c r="E39" s="2"/>
    </row>
    <row r="40" spans="4:5" x14ac:dyDescent="0.3">
      <c r="D40" s="1"/>
      <c r="E40" s="2"/>
    </row>
    <row r="41" spans="4:5" x14ac:dyDescent="0.3">
      <c r="D41" s="1"/>
      <c r="E41" s="2"/>
    </row>
    <row r="42" spans="4:5" x14ac:dyDescent="0.3">
      <c r="D42" s="1"/>
      <c r="E42" s="2"/>
    </row>
    <row r="43" spans="4:5" x14ac:dyDescent="0.3">
      <c r="D43" s="1"/>
      <c r="E43" s="2"/>
    </row>
    <row r="44" spans="4:5" x14ac:dyDescent="0.3">
      <c r="D44" s="1"/>
      <c r="E44" s="2"/>
    </row>
    <row r="45" spans="4:5" x14ac:dyDescent="0.3">
      <c r="D45" s="1"/>
      <c r="E45" s="2"/>
    </row>
    <row r="46" spans="4:5" x14ac:dyDescent="0.3">
      <c r="D46" s="1"/>
      <c r="E46" s="2"/>
    </row>
    <row r="47" spans="4:5" x14ac:dyDescent="0.3">
      <c r="D47" s="1"/>
      <c r="E47" s="2"/>
    </row>
    <row r="48" spans="4:5" x14ac:dyDescent="0.3">
      <c r="D48" s="1"/>
      <c r="E48" s="2"/>
    </row>
    <row r="49" spans="4:5" x14ac:dyDescent="0.3">
      <c r="D49" s="1"/>
      <c r="E49" s="2"/>
    </row>
    <row r="50" spans="4:5" x14ac:dyDescent="0.3">
      <c r="D50" s="1"/>
      <c r="E50" s="2"/>
    </row>
    <row r="51" spans="4:5" x14ac:dyDescent="0.3">
      <c r="D51" s="1"/>
      <c r="E51" s="2"/>
    </row>
    <row r="52" spans="4:5" x14ac:dyDescent="0.3">
      <c r="D52" s="1"/>
      <c r="E52" s="2"/>
    </row>
    <row r="53" spans="4:5" x14ac:dyDescent="0.3">
      <c r="D53" s="1"/>
      <c r="E53" s="2"/>
    </row>
    <row r="54" spans="4:5" x14ac:dyDescent="0.3">
      <c r="D54" s="1"/>
      <c r="E54" s="2"/>
    </row>
    <row r="55" spans="4:5" x14ac:dyDescent="0.3">
      <c r="D55" s="1"/>
      <c r="E55" s="2"/>
    </row>
    <row r="56" spans="4:5" x14ac:dyDescent="0.3">
      <c r="D56" s="1"/>
      <c r="E56" s="2"/>
    </row>
    <row r="57" spans="4:5" x14ac:dyDescent="0.3">
      <c r="D57" s="1"/>
      <c r="E57" s="2"/>
    </row>
    <row r="58" spans="4:5" x14ac:dyDescent="0.3">
      <c r="D58" s="1"/>
      <c r="E58" s="2"/>
    </row>
    <row r="59" spans="4:5" x14ac:dyDescent="0.3">
      <c r="D59" s="1"/>
      <c r="E59" s="2"/>
    </row>
    <row r="60" spans="4:5" x14ac:dyDescent="0.3">
      <c r="D60" s="1"/>
      <c r="E60" s="2"/>
    </row>
    <row r="61" spans="4:5" x14ac:dyDescent="0.3">
      <c r="D61" s="1"/>
      <c r="E61" s="2"/>
    </row>
    <row r="62" spans="4:5" x14ac:dyDescent="0.3">
      <c r="D62" s="1"/>
      <c r="E62" s="2"/>
    </row>
    <row r="63" spans="4:5" x14ac:dyDescent="0.3">
      <c r="D63" s="1"/>
      <c r="E63" s="2"/>
    </row>
    <row r="64" spans="4:5" x14ac:dyDescent="0.3">
      <c r="D64" s="1"/>
      <c r="E64" s="2"/>
    </row>
    <row r="65" spans="4:5" x14ac:dyDescent="0.3">
      <c r="D65" s="1"/>
      <c r="E65" s="2"/>
    </row>
    <row r="66" spans="4:5" x14ac:dyDescent="0.3">
      <c r="D66" s="1"/>
      <c r="E66" s="2"/>
    </row>
    <row r="67" spans="4:5" x14ac:dyDescent="0.3">
      <c r="D67" s="1"/>
      <c r="E67" s="2"/>
    </row>
    <row r="68" spans="4:5" x14ac:dyDescent="0.3">
      <c r="D68" s="1"/>
      <c r="E68" s="2"/>
    </row>
    <row r="69" spans="4:5" x14ac:dyDescent="0.3">
      <c r="D69" s="1"/>
      <c r="E69" s="2"/>
    </row>
    <row r="70" spans="4:5" x14ac:dyDescent="0.3">
      <c r="D70" s="1"/>
      <c r="E70" s="2"/>
    </row>
    <row r="71" spans="4:5" x14ac:dyDescent="0.3">
      <c r="D71" s="1"/>
      <c r="E71" s="2"/>
    </row>
    <row r="72" spans="4:5" x14ac:dyDescent="0.3">
      <c r="D72" s="1"/>
      <c r="E72" s="2"/>
    </row>
    <row r="73" spans="4:5" x14ac:dyDescent="0.3">
      <c r="D73" s="1"/>
      <c r="E73" s="2"/>
    </row>
    <row r="74" spans="4:5" x14ac:dyDescent="0.3">
      <c r="D74" s="1"/>
      <c r="E74" s="2"/>
    </row>
    <row r="75" spans="4:5" x14ac:dyDescent="0.3">
      <c r="D75" s="1"/>
      <c r="E75" s="2"/>
    </row>
    <row r="76" spans="4:5" x14ac:dyDescent="0.3">
      <c r="D76" s="1"/>
      <c r="E76" s="2"/>
    </row>
    <row r="77" spans="4:5" x14ac:dyDescent="0.3">
      <c r="D77" s="1"/>
      <c r="E77" s="2"/>
    </row>
    <row r="78" spans="4:5" x14ac:dyDescent="0.3">
      <c r="D78" s="1"/>
      <c r="E78" s="2"/>
    </row>
    <row r="79" spans="4:5" x14ac:dyDescent="0.3">
      <c r="D79" s="1"/>
      <c r="E79" s="2"/>
    </row>
    <row r="80" spans="4:5" x14ac:dyDescent="0.3">
      <c r="D80" s="1"/>
      <c r="E80" s="2"/>
    </row>
    <row r="81" spans="4:5" x14ac:dyDescent="0.3">
      <c r="D81" s="1"/>
      <c r="E81" s="2"/>
    </row>
    <row r="82" spans="4:5" x14ac:dyDescent="0.3">
      <c r="D82" s="1"/>
      <c r="E82" s="2"/>
    </row>
    <row r="83" spans="4:5" x14ac:dyDescent="0.3">
      <c r="D83" s="1"/>
      <c r="E83" s="2"/>
    </row>
    <row r="84" spans="4:5" x14ac:dyDescent="0.3">
      <c r="D84" s="1"/>
      <c r="E84" s="2"/>
    </row>
    <row r="85" spans="4:5" x14ac:dyDescent="0.3">
      <c r="D85" s="1"/>
      <c r="E85" s="2"/>
    </row>
    <row r="86" spans="4:5" x14ac:dyDescent="0.3">
      <c r="D86" s="1"/>
      <c r="E86" s="2"/>
    </row>
    <row r="87" spans="4:5" x14ac:dyDescent="0.3">
      <c r="D87" s="1"/>
      <c r="E87" s="2"/>
    </row>
    <row r="88" spans="4:5" x14ac:dyDescent="0.3">
      <c r="D88" s="1"/>
      <c r="E88" s="2"/>
    </row>
    <row r="89" spans="4:5" x14ac:dyDescent="0.3">
      <c r="D89" s="1"/>
      <c r="E89" s="2"/>
    </row>
    <row r="90" spans="4:5" x14ac:dyDescent="0.3">
      <c r="D90" s="1"/>
      <c r="E90" s="2"/>
    </row>
    <row r="91" spans="4:5" x14ac:dyDescent="0.3">
      <c r="D91" s="1"/>
      <c r="E91" s="2"/>
    </row>
    <row r="92" spans="4:5" x14ac:dyDescent="0.3">
      <c r="D92" s="1"/>
      <c r="E92" s="2"/>
    </row>
    <row r="93" spans="4:5" x14ac:dyDescent="0.3">
      <c r="D93" s="1"/>
      <c r="E93" s="2"/>
    </row>
    <row r="94" spans="4:5" x14ac:dyDescent="0.3">
      <c r="D94" s="1"/>
      <c r="E94" s="2"/>
    </row>
    <row r="95" spans="4:5" x14ac:dyDescent="0.3">
      <c r="D95" s="1"/>
      <c r="E95" s="2"/>
    </row>
    <row r="96" spans="4:5" x14ac:dyDescent="0.3">
      <c r="D96" s="1"/>
      <c r="E96" s="2"/>
    </row>
    <row r="97" spans="4:5" x14ac:dyDescent="0.3">
      <c r="D97" s="1"/>
      <c r="E97" s="2"/>
    </row>
    <row r="98" spans="4:5" x14ac:dyDescent="0.3">
      <c r="D98" s="1"/>
      <c r="E98" s="2"/>
    </row>
    <row r="99" spans="4:5" x14ac:dyDescent="0.3">
      <c r="D99" s="1"/>
      <c r="E99" s="2"/>
    </row>
    <row r="100" spans="4:5" x14ac:dyDescent="0.3">
      <c r="D100" s="1"/>
      <c r="E100" s="2"/>
    </row>
    <row r="101" spans="4:5" x14ac:dyDescent="0.3">
      <c r="D101" s="1"/>
      <c r="E101" s="2"/>
    </row>
    <row r="102" spans="4:5" x14ac:dyDescent="0.3">
      <c r="D102" s="1"/>
      <c r="E102" s="2"/>
    </row>
    <row r="103" spans="4:5" x14ac:dyDescent="0.3">
      <c r="D103" s="1"/>
      <c r="E103" s="2"/>
    </row>
    <row r="104" spans="4:5" x14ac:dyDescent="0.3">
      <c r="D104" s="1"/>
      <c r="E104" s="2"/>
    </row>
    <row r="105" spans="4:5" x14ac:dyDescent="0.3">
      <c r="D105" s="1"/>
      <c r="E105" s="2"/>
    </row>
    <row r="106" spans="4:5" x14ac:dyDescent="0.3">
      <c r="D106" s="1"/>
      <c r="E106" s="2"/>
    </row>
    <row r="107" spans="4:5" x14ac:dyDescent="0.3">
      <c r="D107" s="1"/>
      <c r="E107" s="2"/>
    </row>
    <row r="108" spans="4:5" x14ac:dyDescent="0.3">
      <c r="D108" s="1"/>
      <c r="E108" s="2"/>
    </row>
    <row r="109" spans="4:5" x14ac:dyDescent="0.3">
      <c r="D109" s="1"/>
      <c r="E109" s="2"/>
    </row>
    <row r="110" spans="4:5" x14ac:dyDescent="0.3">
      <c r="D110" s="1"/>
      <c r="E110" s="2"/>
    </row>
    <row r="111" spans="4:5" x14ac:dyDescent="0.3">
      <c r="D111" s="1"/>
      <c r="E111" s="2"/>
    </row>
    <row r="112" spans="4:5" x14ac:dyDescent="0.3">
      <c r="D112" s="1"/>
      <c r="E112" s="2"/>
    </row>
    <row r="113" spans="4:5" x14ac:dyDescent="0.3">
      <c r="D113" s="1"/>
      <c r="E113" s="2"/>
    </row>
    <row r="114" spans="4:5" x14ac:dyDescent="0.3">
      <c r="D114" s="1"/>
      <c r="E114" s="2"/>
    </row>
    <row r="115" spans="4:5" x14ac:dyDescent="0.3">
      <c r="D115" s="1"/>
      <c r="E115" s="2"/>
    </row>
    <row r="116" spans="4:5" x14ac:dyDescent="0.3">
      <c r="D116" s="1"/>
      <c r="E116" s="2"/>
    </row>
    <row r="117" spans="4:5" x14ac:dyDescent="0.3">
      <c r="D117" s="1"/>
      <c r="E117" s="2"/>
    </row>
    <row r="118" spans="4:5" x14ac:dyDescent="0.3">
      <c r="D118" s="1"/>
      <c r="E118" s="2"/>
    </row>
    <row r="119" spans="4:5" x14ac:dyDescent="0.3">
      <c r="D119" s="1"/>
      <c r="E119" s="2"/>
    </row>
    <row r="120" spans="4:5" x14ac:dyDescent="0.3">
      <c r="D120" s="1"/>
      <c r="E120" s="2"/>
    </row>
    <row r="121" spans="4:5" x14ac:dyDescent="0.3">
      <c r="D121" s="1"/>
      <c r="E121" s="2"/>
    </row>
    <row r="122" spans="4:5" x14ac:dyDescent="0.3">
      <c r="D122" s="1"/>
      <c r="E122" s="2"/>
    </row>
    <row r="123" spans="4:5" x14ac:dyDescent="0.3">
      <c r="D123" s="1"/>
      <c r="E123" s="2"/>
    </row>
    <row r="124" spans="4:5" x14ac:dyDescent="0.3">
      <c r="D124" s="1"/>
      <c r="E124" s="2"/>
    </row>
    <row r="125" spans="4:5" x14ac:dyDescent="0.3">
      <c r="D125" s="1"/>
      <c r="E125" s="2"/>
    </row>
    <row r="126" spans="4:5" x14ac:dyDescent="0.3">
      <c r="D126" s="1"/>
      <c r="E126" s="2"/>
    </row>
    <row r="127" spans="4:5" x14ac:dyDescent="0.3">
      <c r="D127" s="1"/>
      <c r="E127" s="2"/>
    </row>
    <row r="128" spans="4:5" x14ac:dyDescent="0.3">
      <c r="D128" s="1"/>
      <c r="E128" s="2"/>
    </row>
    <row r="129" spans="4:5" x14ac:dyDescent="0.3">
      <c r="D129" s="1"/>
      <c r="E129" s="2"/>
    </row>
    <row r="130" spans="4:5" x14ac:dyDescent="0.3">
      <c r="D130" s="1"/>
      <c r="E130" s="2"/>
    </row>
    <row r="131" spans="4:5" x14ac:dyDescent="0.3">
      <c r="D131" s="1"/>
      <c r="E131" s="2"/>
    </row>
    <row r="132" spans="4:5" x14ac:dyDescent="0.3">
      <c r="D132" s="1"/>
      <c r="E132" s="2"/>
    </row>
    <row r="133" spans="4:5" x14ac:dyDescent="0.3">
      <c r="D133" s="1"/>
      <c r="E133" s="2"/>
    </row>
    <row r="134" spans="4:5" x14ac:dyDescent="0.3">
      <c r="D134" s="1"/>
      <c r="E134" s="2"/>
    </row>
    <row r="135" spans="4:5" x14ac:dyDescent="0.3">
      <c r="D135" s="1"/>
      <c r="E135" s="2"/>
    </row>
    <row r="136" spans="4:5" x14ac:dyDescent="0.3">
      <c r="D136" s="1"/>
      <c r="E136" s="2"/>
    </row>
    <row r="137" spans="4:5" x14ac:dyDescent="0.3">
      <c r="D137" s="1"/>
      <c r="E137" s="2"/>
    </row>
    <row r="138" spans="4:5" x14ac:dyDescent="0.3">
      <c r="D138" s="1"/>
      <c r="E138" s="2"/>
    </row>
    <row r="139" spans="4:5" x14ac:dyDescent="0.3">
      <c r="D139" s="1"/>
      <c r="E139" s="2"/>
    </row>
    <row r="140" spans="4:5" x14ac:dyDescent="0.3">
      <c r="D140" s="1"/>
      <c r="E140" s="2"/>
    </row>
    <row r="141" spans="4:5" x14ac:dyDescent="0.3">
      <c r="D141" s="1"/>
      <c r="E141" s="2"/>
    </row>
    <row r="142" spans="4:5" x14ac:dyDescent="0.3">
      <c r="D142" s="1"/>
      <c r="E142" s="2"/>
    </row>
    <row r="143" spans="4:5" x14ac:dyDescent="0.3">
      <c r="D143" s="1"/>
      <c r="E143" s="2"/>
    </row>
    <row r="144" spans="4:5" x14ac:dyDescent="0.3">
      <c r="D144" s="1"/>
      <c r="E144" s="2"/>
    </row>
    <row r="145" spans="4:5" x14ac:dyDescent="0.3">
      <c r="D145" s="1"/>
      <c r="E145" s="2"/>
    </row>
    <row r="146" spans="4:5" x14ac:dyDescent="0.3">
      <c r="D146" s="1"/>
      <c r="E146" s="2"/>
    </row>
    <row r="147" spans="4:5" x14ac:dyDescent="0.3">
      <c r="D147" s="1"/>
      <c r="E147" s="2"/>
    </row>
    <row r="148" spans="4:5" x14ac:dyDescent="0.3">
      <c r="D148" s="1"/>
      <c r="E148" s="2"/>
    </row>
    <row r="149" spans="4:5" x14ac:dyDescent="0.3">
      <c r="D149" s="1"/>
      <c r="E149" s="2"/>
    </row>
    <row r="150" spans="4:5" x14ac:dyDescent="0.3">
      <c r="D150" s="1"/>
      <c r="E150" s="2"/>
    </row>
    <row r="151" spans="4:5" x14ac:dyDescent="0.3">
      <c r="D151" s="1"/>
      <c r="E151" s="2"/>
    </row>
    <row r="152" spans="4:5" x14ac:dyDescent="0.3">
      <c r="D152" s="1"/>
      <c r="E152" s="2"/>
    </row>
    <row r="153" spans="4:5" x14ac:dyDescent="0.3">
      <c r="D153" s="1"/>
      <c r="E153" s="2"/>
    </row>
    <row r="154" spans="4:5" x14ac:dyDescent="0.3">
      <c r="D154" s="1"/>
      <c r="E154" s="2"/>
    </row>
    <row r="155" spans="4:5" x14ac:dyDescent="0.3">
      <c r="D155" s="1"/>
      <c r="E155" s="2"/>
    </row>
    <row r="156" spans="4:5" x14ac:dyDescent="0.3">
      <c r="D156" s="1"/>
      <c r="E156" s="2"/>
    </row>
    <row r="157" spans="4:5" x14ac:dyDescent="0.3">
      <c r="D157" s="1"/>
      <c r="E157" s="2"/>
    </row>
    <row r="158" spans="4:5" x14ac:dyDescent="0.3">
      <c r="D158" s="1"/>
      <c r="E158" s="2"/>
    </row>
    <row r="159" spans="4:5" x14ac:dyDescent="0.3">
      <c r="D159" s="1"/>
      <c r="E159" s="2"/>
    </row>
    <row r="160" spans="4:5" x14ac:dyDescent="0.3">
      <c r="D160" s="1"/>
      <c r="E160" s="2"/>
    </row>
    <row r="161" spans="4:5" x14ac:dyDescent="0.3">
      <c r="D161" s="1"/>
      <c r="E161" s="2"/>
    </row>
    <row r="162" spans="4:5" x14ac:dyDescent="0.3">
      <c r="D162" s="1"/>
      <c r="E162" s="2"/>
    </row>
    <row r="163" spans="4:5" x14ac:dyDescent="0.3">
      <c r="D163" s="1"/>
      <c r="E163" s="2"/>
    </row>
    <row r="164" spans="4:5" x14ac:dyDescent="0.3">
      <c r="D164" s="1"/>
      <c r="E164" s="2"/>
    </row>
    <row r="165" spans="4:5" x14ac:dyDescent="0.3">
      <c r="D165" s="1"/>
      <c r="E165" s="2"/>
    </row>
    <row r="166" spans="4:5" x14ac:dyDescent="0.3">
      <c r="D166" s="1"/>
      <c r="E166" s="2"/>
    </row>
    <row r="167" spans="4:5" x14ac:dyDescent="0.3">
      <c r="D167" s="1"/>
      <c r="E167" s="2"/>
    </row>
    <row r="168" spans="4:5" x14ac:dyDescent="0.3">
      <c r="D168" s="1"/>
      <c r="E168" s="2"/>
    </row>
    <row r="169" spans="4:5" x14ac:dyDescent="0.3">
      <c r="D169" s="1"/>
      <c r="E169" s="2"/>
    </row>
    <row r="170" spans="4:5" x14ac:dyDescent="0.3">
      <c r="D170" s="1"/>
      <c r="E170" s="2"/>
    </row>
    <row r="171" spans="4:5" x14ac:dyDescent="0.3">
      <c r="D171" s="1"/>
      <c r="E171" s="2"/>
    </row>
    <row r="172" spans="4:5" x14ac:dyDescent="0.3">
      <c r="D172" s="1"/>
      <c r="E172" s="2"/>
    </row>
    <row r="173" spans="4:5" x14ac:dyDescent="0.3">
      <c r="D173" s="1"/>
      <c r="E173" s="2"/>
    </row>
    <row r="174" spans="4:5" x14ac:dyDescent="0.3">
      <c r="D174" s="1"/>
      <c r="E174" s="2"/>
    </row>
    <row r="175" spans="4:5" x14ac:dyDescent="0.3">
      <c r="D175" s="1"/>
      <c r="E175" s="2"/>
    </row>
    <row r="176" spans="4:5" x14ac:dyDescent="0.3">
      <c r="D176" s="1"/>
      <c r="E176" s="2"/>
    </row>
    <row r="177" spans="4:5" x14ac:dyDescent="0.3">
      <c r="D177" s="1"/>
      <c r="E177" s="2"/>
    </row>
    <row r="178" spans="4:5" x14ac:dyDescent="0.3">
      <c r="D178" s="1"/>
      <c r="E178" s="2"/>
    </row>
    <row r="179" spans="4:5" x14ac:dyDescent="0.3">
      <c r="D179" s="1"/>
      <c r="E179" s="2"/>
    </row>
    <row r="180" spans="4:5" x14ac:dyDescent="0.3">
      <c r="D180" s="1"/>
      <c r="E180" s="2"/>
    </row>
    <row r="181" spans="4:5" x14ac:dyDescent="0.3">
      <c r="D181" s="1"/>
      <c r="E181" s="2"/>
    </row>
    <row r="182" spans="4:5" x14ac:dyDescent="0.3">
      <c r="D182" s="1"/>
      <c r="E182" s="2"/>
    </row>
    <row r="183" spans="4:5" x14ac:dyDescent="0.3">
      <c r="D183" s="1"/>
      <c r="E183" s="2"/>
    </row>
    <row r="184" spans="4:5" x14ac:dyDescent="0.3">
      <c r="D184" s="1"/>
      <c r="E184" s="2"/>
    </row>
    <row r="185" spans="4:5" x14ac:dyDescent="0.3">
      <c r="D185" s="1"/>
      <c r="E185" s="2"/>
    </row>
    <row r="186" spans="4:5" x14ac:dyDescent="0.3">
      <c r="D186" s="1"/>
      <c r="E186" s="2"/>
    </row>
    <row r="187" spans="4:5" x14ac:dyDescent="0.3">
      <c r="D187" s="1"/>
      <c r="E187" s="2"/>
    </row>
    <row r="188" spans="4:5" x14ac:dyDescent="0.3">
      <c r="D188" s="1"/>
      <c r="E188" s="2"/>
    </row>
    <row r="189" spans="4:5" x14ac:dyDescent="0.3">
      <c r="D189" s="1"/>
      <c r="E189" s="2"/>
    </row>
    <row r="190" spans="4:5" x14ac:dyDescent="0.3">
      <c r="D190" s="1"/>
      <c r="E190" s="2"/>
    </row>
    <row r="191" spans="4:5" x14ac:dyDescent="0.3">
      <c r="D191" s="1"/>
      <c r="E191" s="2"/>
    </row>
    <row r="192" spans="4:5" x14ac:dyDescent="0.3">
      <c r="D192" s="1"/>
      <c r="E192" s="2"/>
    </row>
    <row r="193" spans="4:5" x14ac:dyDescent="0.3">
      <c r="D193" s="1"/>
      <c r="E193" s="2"/>
    </row>
    <row r="194" spans="4:5" x14ac:dyDescent="0.3">
      <c r="D194" s="1"/>
      <c r="E194" s="2"/>
    </row>
    <row r="195" spans="4:5" x14ac:dyDescent="0.3">
      <c r="D195" s="1"/>
      <c r="E195" s="2"/>
    </row>
    <row r="196" spans="4:5" x14ac:dyDescent="0.3">
      <c r="D196" s="1"/>
      <c r="E196" s="2"/>
    </row>
    <row r="197" spans="4:5" x14ac:dyDescent="0.3">
      <c r="D197" s="1"/>
      <c r="E197" s="2"/>
    </row>
    <row r="198" spans="4:5" x14ac:dyDescent="0.3">
      <c r="D198" s="1"/>
      <c r="E198" s="2"/>
    </row>
    <row r="199" spans="4:5" x14ac:dyDescent="0.3">
      <c r="D199" s="1"/>
      <c r="E199" s="2"/>
    </row>
    <row r="200" spans="4:5" x14ac:dyDescent="0.3">
      <c r="D200" s="1"/>
      <c r="E200" s="2"/>
    </row>
    <row r="201" spans="4:5" x14ac:dyDescent="0.3">
      <c r="D201" s="1"/>
      <c r="E201" s="2"/>
    </row>
    <row r="202" spans="4:5" x14ac:dyDescent="0.3">
      <c r="D202" s="1"/>
      <c r="E202" s="2"/>
    </row>
    <row r="203" spans="4:5" x14ac:dyDescent="0.3">
      <c r="D203" s="1"/>
      <c r="E203" s="2"/>
    </row>
    <row r="204" spans="4:5" x14ac:dyDescent="0.3">
      <c r="D204" s="1"/>
      <c r="E204" s="2"/>
    </row>
    <row r="205" spans="4:5" x14ac:dyDescent="0.3">
      <c r="D205" s="1"/>
      <c r="E205" s="2"/>
    </row>
    <row r="206" spans="4:5" x14ac:dyDescent="0.3">
      <c r="D206" s="1"/>
      <c r="E206" s="2"/>
    </row>
    <row r="207" spans="4:5" x14ac:dyDescent="0.3">
      <c r="D207" s="1"/>
      <c r="E207" s="2"/>
    </row>
    <row r="208" spans="4:5" x14ac:dyDescent="0.3">
      <c r="D208" s="1"/>
      <c r="E208" s="2"/>
    </row>
    <row r="209" spans="4:5" x14ac:dyDescent="0.3">
      <c r="D209" s="1"/>
      <c r="E209" s="2"/>
    </row>
    <row r="210" spans="4:5" x14ac:dyDescent="0.3">
      <c r="D210" s="1"/>
      <c r="E210" s="2"/>
    </row>
    <row r="211" spans="4:5" x14ac:dyDescent="0.3">
      <c r="D211" s="1"/>
      <c r="E211" s="2"/>
    </row>
    <row r="212" spans="4:5" x14ac:dyDescent="0.3">
      <c r="D212" s="1"/>
      <c r="E212" s="2"/>
    </row>
    <row r="213" spans="4:5" x14ac:dyDescent="0.3">
      <c r="D213" s="1"/>
      <c r="E213" s="2"/>
    </row>
    <row r="214" spans="4:5" x14ac:dyDescent="0.3">
      <c r="D214" s="1"/>
      <c r="E214" s="2"/>
    </row>
    <row r="215" spans="4:5" x14ac:dyDescent="0.3">
      <c r="D215" s="1"/>
      <c r="E215" s="2"/>
    </row>
    <row r="216" spans="4:5" x14ac:dyDescent="0.3">
      <c r="D216" s="1"/>
      <c r="E216" s="2"/>
    </row>
    <row r="217" spans="4:5" x14ac:dyDescent="0.3">
      <c r="D217" s="1"/>
      <c r="E217" s="2"/>
    </row>
    <row r="218" spans="4:5" x14ac:dyDescent="0.3">
      <c r="D218" s="1"/>
      <c r="E218" s="2"/>
    </row>
    <row r="219" spans="4:5" x14ac:dyDescent="0.3">
      <c r="D219" s="1"/>
      <c r="E219" s="2"/>
    </row>
    <row r="220" spans="4:5" x14ac:dyDescent="0.3">
      <c r="D220" s="1"/>
      <c r="E220" s="2"/>
    </row>
    <row r="221" spans="4:5" x14ac:dyDescent="0.3">
      <c r="D221" s="1"/>
      <c r="E221" s="2"/>
    </row>
    <row r="222" spans="4:5" x14ac:dyDescent="0.3">
      <c r="D222" s="1"/>
      <c r="E222" s="2"/>
    </row>
    <row r="223" spans="4:5" x14ac:dyDescent="0.3">
      <c r="D223" s="1"/>
      <c r="E223" s="2"/>
    </row>
    <row r="224" spans="4:5" x14ac:dyDescent="0.3">
      <c r="D224" s="1"/>
      <c r="E224" s="2"/>
    </row>
    <row r="225" spans="4:5" x14ac:dyDescent="0.3">
      <c r="D225" s="1"/>
      <c r="E225" s="2"/>
    </row>
    <row r="226" spans="4:5" x14ac:dyDescent="0.3">
      <c r="D226" s="1"/>
      <c r="E226" s="2"/>
    </row>
    <row r="227" spans="4:5" x14ac:dyDescent="0.3">
      <c r="D227" s="1"/>
      <c r="E227" s="2"/>
    </row>
    <row r="228" spans="4:5" x14ac:dyDescent="0.3">
      <c r="D228" s="1"/>
      <c r="E228" s="2"/>
    </row>
    <row r="229" spans="4:5" x14ac:dyDescent="0.3">
      <c r="D229" s="1"/>
      <c r="E229" s="2"/>
    </row>
    <row r="230" spans="4:5" x14ac:dyDescent="0.3">
      <c r="D230" s="1"/>
      <c r="E230" s="2"/>
    </row>
    <row r="231" spans="4:5" x14ac:dyDescent="0.3">
      <c r="D231" s="1"/>
      <c r="E231" s="2"/>
    </row>
    <row r="232" spans="4:5" x14ac:dyDescent="0.3">
      <c r="D232" s="1"/>
      <c r="E232" s="2"/>
    </row>
    <row r="233" spans="4:5" x14ac:dyDescent="0.3">
      <c r="D233" s="1"/>
      <c r="E233" s="2"/>
    </row>
    <row r="234" spans="4:5" x14ac:dyDescent="0.3">
      <c r="D234" s="1"/>
      <c r="E234" s="2"/>
    </row>
    <row r="235" spans="4:5" x14ac:dyDescent="0.3">
      <c r="D235" s="1"/>
      <c r="E235" s="2"/>
    </row>
    <row r="236" spans="4:5" x14ac:dyDescent="0.3">
      <c r="D236" s="1"/>
      <c r="E236" s="2"/>
    </row>
    <row r="237" spans="4:5" x14ac:dyDescent="0.3">
      <c r="D237" s="1"/>
      <c r="E237" s="2"/>
    </row>
    <row r="238" spans="4:5" x14ac:dyDescent="0.3">
      <c r="D238" s="1"/>
      <c r="E238" s="2"/>
    </row>
    <row r="239" spans="4:5" x14ac:dyDescent="0.3">
      <c r="D239" s="1"/>
      <c r="E239" s="2"/>
    </row>
    <row r="240" spans="4:5" x14ac:dyDescent="0.3">
      <c r="D240" s="1"/>
      <c r="E240" s="2"/>
    </row>
    <row r="241" spans="4:5" x14ac:dyDescent="0.3">
      <c r="D241" s="1"/>
      <c r="E241" s="2"/>
    </row>
    <row r="242" spans="4:5" x14ac:dyDescent="0.3">
      <c r="D242" s="1"/>
      <c r="E24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7DDD-747F-402F-994F-FC5A8F11C572}">
  <dimension ref="A1:L23"/>
  <sheetViews>
    <sheetView workbookViewId="0">
      <selection activeCell="B19" sqref="B19:L23"/>
    </sheetView>
  </sheetViews>
  <sheetFormatPr defaultRowHeight="14.4" x14ac:dyDescent="0.3"/>
  <sheetData>
    <row r="1" spans="1:12" x14ac:dyDescent="0.3">
      <c r="A1" s="5" t="s">
        <v>49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</row>
    <row r="2" spans="1:12" x14ac:dyDescent="0.3">
      <c r="A2" s="8" t="s">
        <v>11</v>
      </c>
      <c r="B2">
        <v>2229.9568553269187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865.99999999999829</v>
      </c>
      <c r="L2">
        <v>0</v>
      </c>
    </row>
    <row r="3" spans="1:12" x14ac:dyDescent="0.3">
      <c r="A3" s="8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s="8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s="8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s="8" t="s">
        <v>15</v>
      </c>
      <c r="B6">
        <v>0</v>
      </c>
      <c r="C6">
        <v>0</v>
      </c>
      <c r="D6">
        <v>0</v>
      </c>
      <c r="E6">
        <v>0</v>
      </c>
      <c r="F6">
        <v>466.21387283236976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s="8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s="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0.26801977621649764</v>
      </c>
      <c r="I8">
        <v>0</v>
      </c>
      <c r="J8">
        <v>0</v>
      </c>
      <c r="K8">
        <v>0</v>
      </c>
      <c r="L8">
        <v>0</v>
      </c>
    </row>
    <row r="9" spans="1:12" x14ac:dyDescent="0.3">
      <c r="A9" s="8" t="s">
        <v>18</v>
      </c>
      <c r="B9">
        <v>0</v>
      </c>
      <c r="C9">
        <v>405.55000000000018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s="8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33.250000000000007</v>
      </c>
    </row>
    <row r="11" spans="1:12" x14ac:dyDescent="0.3">
      <c r="A11" s="8" t="s">
        <v>20</v>
      </c>
      <c r="B11">
        <v>0</v>
      </c>
      <c r="C11">
        <v>0</v>
      </c>
      <c r="D11">
        <v>3.225806451612903</v>
      </c>
      <c r="E11">
        <v>83.901021209740648</v>
      </c>
      <c r="F11">
        <v>0</v>
      </c>
      <c r="G11">
        <v>139.09000000000003</v>
      </c>
      <c r="H11">
        <v>0</v>
      </c>
      <c r="I11">
        <v>1.4109704641350209</v>
      </c>
      <c r="J11">
        <v>0</v>
      </c>
      <c r="K11">
        <v>0</v>
      </c>
      <c r="L11">
        <v>0</v>
      </c>
    </row>
    <row r="12" spans="1:12" x14ac:dyDescent="0.3">
      <c r="A12" s="8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253.95299999999952</v>
      </c>
      <c r="K12">
        <v>0</v>
      </c>
      <c r="L12">
        <v>0</v>
      </c>
    </row>
    <row r="13" spans="1:12" x14ac:dyDescent="0.3">
      <c r="A13" s="8" t="s">
        <v>22</v>
      </c>
      <c r="B13">
        <v>24.654464140112879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s="8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s="8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s="8" t="s">
        <v>25</v>
      </c>
      <c r="B16">
        <v>265.57315363121228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s="8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s="8" t="s">
        <v>27</v>
      </c>
      <c r="B18">
        <v>227.56893770175603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s="8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s="8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s="8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s="8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ht="15" thickBot="1" x14ac:dyDescent="0.35">
      <c r="A23" s="11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77D3-0071-4896-9F4F-53BB108F5E3D}">
  <dimension ref="A1:L14"/>
  <sheetViews>
    <sheetView workbookViewId="0">
      <selection sqref="A1:L14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0.27607174320707073</v>
      </c>
      <c r="C2">
        <v>5.4253630107629611E-2</v>
      </c>
      <c r="D2">
        <v>5.666316904668911E-2</v>
      </c>
      <c r="E2">
        <v>5.2499999999999998E-2</v>
      </c>
      <c r="F2">
        <v>2.0425499999999999E-2</v>
      </c>
      <c r="G2">
        <v>0.26043281214839853</v>
      </c>
      <c r="H2">
        <v>0.11914305514403292</v>
      </c>
      <c r="I2">
        <v>0.24195604807903462</v>
      </c>
      <c r="J2">
        <v>0.64413095238095242</v>
      </c>
      <c r="K2">
        <v>0.41900928561266981</v>
      </c>
      <c r="L2">
        <v>3.2671322433221101E-2</v>
      </c>
    </row>
    <row r="3" spans="1:12" x14ac:dyDescent="0.3">
      <c r="A3" t="s">
        <v>15</v>
      </c>
      <c r="B3">
        <v>0.33087648399945879</v>
      </c>
      <c r="C3">
        <v>1.4750590909090908E-2</v>
      </c>
      <c r="D3">
        <v>0.24771833333333332</v>
      </c>
      <c r="E3">
        <v>0.30681684999999992</v>
      </c>
      <c r="F3">
        <v>6.016016666666666E-2</v>
      </c>
      <c r="G3">
        <v>0.36914938406926401</v>
      </c>
      <c r="H3">
        <v>8.3693408333333316E-2</v>
      </c>
      <c r="I3">
        <v>0.20216666666666666</v>
      </c>
      <c r="J3">
        <v>0.46233619117153679</v>
      </c>
      <c r="K3">
        <v>0.34064023259259252</v>
      </c>
      <c r="L3">
        <v>9.8562241735537202E-3</v>
      </c>
    </row>
    <row r="4" spans="1:12" x14ac:dyDescent="0.3">
      <c r="A4" t="s">
        <v>16</v>
      </c>
      <c r="B4">
        <v>0.16803900115226336</v>
      </c>
      <c r="C4">
        <v>5.5630799999999994E-2</v>
      </c>
      <c r="D4">
        <v>0.12192444444444446</v>
      </c>
      <c r="E4">
        <v>0.15101213333333335</v>
      </c>
      <c r="F4">
        <v>2.9610222222222225E-2</v>
      </c>
      <c r="G4">
        <v>0.19028922222222225</v>
      </c>
      <c r="H4">
        <v>4.1193044444444445E-2</v>
      </c>
      <c r="I4">
        <v>9.0752428148148157E-2</v>
      </c>
      <c r="J4">
        <v>0.30278429629629627</v>
      </c>
      <c r="K4">
        <v>0.16765965827160495</v>
      </c>
      <c r="L4">
        <v>6.9870101010101007E-2</v>
      </c>
    </row>
    <row r="5" spans="1:12" x14ac:dyDescent="0.3">
      <c r="A5" t="s">
        <v>17</v>
      </c>
      <c r="B5">
        <v>0.10688887000000001</v>
      </c>
      <c r="C5">
        <v>0</v>
      </c>
      <c r="D5">
        <v>0.14630000000000001</v>
      </c>
      <c r="E5">
        <v>0.181203</v>
      </c>
      <c r="F5">
        <v>3.5529999999999999E-2</v>
      </c>
      <c r="G5">
        <v>0.16723788888888888</v>
      </c>
      <c r="H5">
        <v>4.9428499999999993E-2</v>
      </c>
      <c r="I5">
        <v>0.10889596666666666</v>
      </c>
      <c r="J5">
        <v>0.15884000000000001</v>
      </c>
      <c r="K5">
        <v>0.20117875555555553</v>
      </c>
      <c r="L5">
        <v>0</v>
      </c>
    </row>
    <row r="6" spans="1:12" x14ac:dyDescent="0.3">
      <c r="A6" t="s">
        <v>21</v>
      </c>
      <c r="B6">
        <v>7.1444493113859669E-2</v>
      </c>
      <c r="C6">
        <v>7.272E-4</v>
      </c>
      <c r="D6">
        <v>0.27500000000000002</v>
      </c>
      <c r="E6">
        <v>6.9317410526315792E-2</v>
      </c>
      <c r="F6">
        <v>1.3269991228070179E-2</v>
      </c>
      <c r="G6">
        <v>0.12489403508771933</v>
      </c>
      <c r="H6">
        <v>1.8460899561403513E-2</v>
      </c>
      <c r="I6">
        <v>4.1657072046783636E-2</v>
      </c>
      <c r="J6">
        <v>0.11537559842105265</v>
      </c>
      <c r="K6">
        <v>7.695893769980508E-2</v>
      </c>
      <c r="L6">
        <v>4.8590909090909099E-4</v>
      </c>
    </row>
    <row r="7" spans="1:12" x14ac:dyDescent="0.3">
      <c r="A7" t="s">
        <v>23</v>
      </c>
      <c r="B7">
        <v>2.0514000000000001E-2</v>
      </c>
      <c r="C7">
        <v>1.3816799999999999E-3</v>
      </c>
      <c r="D7">
        <v>6.0200000000000002E-3</v>
      </c>
      <c r="E7">
        <v>1.3741949999999999E-2</v>
      </c>
      <c r="F7">
        <v>1.2409999999999999E-3</v>
      </c>
      <c r="G7">
        <v>1.0923257477132223E-2</v>
      </c>
      <c r="H7">
        <v>1.734949782339181E-3</v>
      </c>
      <c r="I7">
        <v>8.292392425306043E-3</v>
      </c>
      <c r="J7">
        <v>4.2647949473684221E-2</v>
      </c>
      <c r="K7">
        <v>1.5319696769008448E-2</v>
      </c>
      <c r="L7">
        <v>2.2250219008264463E-4</v>
      </c>
    </row>
    <row r="8" spans="1:12" x14ac:dyDescent="0.3">
      <c r="A8" t="s">
        <v>48</v>
      </c>
      <c r="B8">
        <v>5.21E-2</v>
      </c>
      <c r="C8">
        <v>5.4903599999999997E-3</v>
      </c>
      <c r="D8">
        <v>5.8450000000000004E-3</v>
      </c>
      <c r="E8">
        <v>3.411645E-2</v>
      </c>
      <c r="F8">
        <v>5.2785000000000002E-3</v>
      </c>
      <c r="G8">
        <v>3.1300813988095234E-2</v>
      </c>
      <c r="H8">
        <v>7.3423395833333328E-3</v>
      </c>
      <c r="I8">
        <v>2.0513516527777779E-2</v>
      </c>
      <c r="J8">
        <v>1.44712E-2</v>
      </c>
      <c r="K8">
        <v>3.7897489259259259E-2</v>
      </c>
      <c r="L8">
        <v>3.6670951704545459E-3</v>
      </c>
    </row>
    <row r="9" spans="1:12" x14ac:dyDescent="0.3">
      <c r="A9" t="s">
        <v>18</v>
      </c>
      <c r="B9">
        <v>7.5810082705287524E-2</v>
      </c>
      <c r="C9">
        <v>4.99E-2</v>
      </c>
      <c r="D9">
        <v>0.70700000000000007</v>
      </c>
      <c r="E9">
        <v>0.12532484999999999</v>
      </c>
      <c r="F9">
        <v>1.8402499999999999E-2</v>
      </c>
      <c r="G9">
        <v>0.1598649690302508</v>
      </c>
      <c r="H9">
        <v>2.3470640612865495E-2</v>
      </c>
      <c r="I9">
        <v>7.0623067668849904E-2</v>
      </c>
      <c r="J9">
        <v>0.2640288411974992</v>
      </c>
      <c r="K9">
        <v>0.13047187423043535</v>
      </c>
      <c r="L9">
        <v>2.060117827815091E-2</v>
      </c>
    </row>
    <row r="10" spans="1:12" x14ac:dyDescent="0.3">
      <c r="A10" t="s">
        <v>19</v>
      </c>
      <c r="B10">
        <v>0.23524062044571417</v>
      </c>
      <c r="C10">
        <v>0.16178928372284068</v>
      </c>
      <c r="D10">
        <v>0.12507412800000001</v>
      </c>
      <c r="E10">
        <v>0.30709140000000001</v>
      </c>
      <c r="F10">
        <v>6.0213999999999997E-2</v>
      </c>
      <c r="G10">
        <v>0.49376094272161619</v>
      </c>
      <c r="H10">
        <v>7.6636805422222218E-2</v>
      </c>
      <c r="I10">
        <v>0.23814440795782277</v>
      </c>
      <c r="J10">
        <v>0.45932744691717176</v>
      </c>
      <c r="K10">
        <v>0.3119191791091358</v>
      </c>
      <c r="L10">
        <v>6.7085654999999994E-2</v>
      </c>
    </row>
    <row r="11" spans="1:12" x14ac:dyDescent="0.3">
      <c r="A11" t="s">
        <v>20</v>
      </c>
      <c r="B11">
        <v>9.8884795063157907E-2</v>
      </c>
      <c r="C11">
        <v>0</v>
      </c>
      <c r="D11">
        <v>0.18117343999999999</v>
      </c>
      <c r="E11">
        <v>0.24124275000000001</v>
      </c>
      <c r="F11">
        <v>2.32645E-2</v>
      </c>
      <c r="G11">
        <v>0.41271798245614033</v>
      </c>
      <c r="H11">
        <v>3.2369381578947358E-2</v>
      </c>
      <c r="I11">
        <v>0.27925</v>
      </c>
      <c r="J11">
        <v>0.49203403157894743</v>
      </c>
      <c r="K11">
        <v>5.9622180451127819E-2</v>
      </c>
      <c r="L11">
        <v>0</v>
      </c>
    </row>
    <row r="12" spans="1:12" x14ac:dyDescent="0.3">
      <c r="A12" t="s">
        <v>37</v>
      </c>
      <c r="B12">
        <v>7.448835328466033E-2</v>
      </c>
      <c r="C12">
        <v>3.8905200000000002E-3</v>
      </c>
      <c r="D12">
        <v>4.2915146561368425E-2</v>
      </c>
      <c r="E12">
        <v>7.6107963366842113E-2</v>
      </c>
      <c r="F12">
        <v>7.9188840192982481E-3</v>
      </c>
      <c r="G12">
        <v>5.8600885702791067E-2</v>
      </c>
      <c r="H12">
        <v>2.077382575609649E-2</v>
      </c>
      <c r="I12">
        <v>4.5737930618497076E-2</v>
      </c>
      <c r="J12">
        <v>3.540206973333334E-2</v>
      </c>
      <c r="K12">
        <v>8.4498078718393765E-2</v>
      </c>
      <c r="L12">
        <v>2.695271466942149E-5</v>
      </c>
    </row>
    <row r="13" spans="1:12" x14ac:dyDescent="0.3">
      <c r="A13" t="s">
        <v>38</v>
      </c>
      <c r="B13">
        <v>5.3518845188938589E-2</v>
      </c>
      <c r="C13">
        <v>4.8575E-2</v>
      </c>
      <c r="D13">
        <v>5.011111111111112E-2</v>
      </c>
      <c r="E13">
        <v>0.19137532127910523</v>
      </c>
      <c r="F13">
        <v>2.9495240168245614E-2</v>
      </c>
      <c r="G13">
        <v>0.33507425845302624</v>
      </c>
      <c r="H13">
        <v>5.3363678198074548E-2</v>
      </c>
      <c r="I13">
        <v>0.11500913675177601</v>
      </c>
      <c r="J13">
        <v>0.12524190635446972</v>
      </c>
      <c r="K13">
        <v>0.21247246998656216</v>
      </c>
      <c r="L13">
        <v>2.3840887106267219E-3</v>
      </c>
    </row>
    <row r="14" spans="1:12" x14ac:dyDescent="0.3">
      <c r="A14" t="s">
        <v>47</v>
      </c>
      <c r="B14">
        <v>0.12087476848874665</v>
      </c>
      <c r="C14">
        <v>1.9270800000000001E-3</v>
      </c>
      <c r="D14">
        <v>0.19476578947368423</v>
      </c>
      <c r="E14">
        <v>0.12989792515789472</v>
      </c>
      <c r="F14">
        <v>1.7998999035087719E-2</v>
      </c>
      <c r="G14">
        <v>3.7056762719298239E-2</v>
      </c>
      <c r="H14">
        <v>3.606550419517543E-2</v>
      </c>
      <c r="I14">
        <v>2.2140075692982451E-2</v>
      </c>
      <c r="J14">
        <v>0.20485741112706943</v>
      </c>
      <c r="K14">
        <v>0.14421782714697853</v>
      </c>
      <c r="L14">
        <v>1.2984705681818181E-3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F67A-CC28-428D-9D0A-05E4566E9AB2}">
  <dimension ref="A1:L14"/>
  <sheetViews>
    <sheetView workbookViewId="0">
      <selection sqref="A1:L14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5.291612291469586</v>
      </c>
      <c r="C2">
        <v>5.7885552049309625</v>
      </c>
      <c r="D2">
        <v>7.1017420272792737</v>
      </c>
      <c r="E2">
        <v>7.0392237017744668</v>
      </c>
      <c r="F2">
        <v>3.5074532546438122</v>
      </c>
      <c r="G2">
        <v>5.526958214128407</v>
      </c>
      <c r="H2">
        <v>8.7701796950449431</v>
      </c>
      <c r="I2">
        <v>6.6782027086282314</v>
      </c>
      <c r="J2">
        <v>4.9229175210874487</v>
      </c>
      <c r="K2">
        <v>5.4673216874331994</v>
      </c>
      <c r="L2">
        <v>4.9659531492414475</v>
      </c>
    </row>
    <row r="3" spans="1:12" x14ac:dyDescent="0.3">
      <c r="A3" t="s">
        <v>15</v>
      </c>
      <c r="B3">
        <v>5.3702562360817181</v>
      </c>
      <c r="C3">
        <v>5.2229358213284671</v>
      </c>
      <c r="D3">
        <v>7.742399316661384</v>
      </c>
      <c r="E3">
        <v>7.8059436052134856</v>
      </c>
      <c r="F3">
        <v>3.9765895888726592</v>
      </c>
      <c r="G3">
        <v>5.6784646617919412</v>
      </c>
      <c r="H3">
        <v>8.6168022171191829</v>
      </c>
      <c r="I3">
        <v>6.6001757766445222</v>
      </c>
      <c r="J3">
        <v>4.778901243172772</v>
      </c>
      <c r="K3">
        <v>5.3773939806492654</v>
      </c>
      <c r="L3">
        <v>4.4454970082089051</v>
      </c>
    </row>
    <row r="4" spans="1:12" x14ac:dyDescent="0.3">
      <c r="A4" t="s">
        <v>16</v>
      </c>
      <c r="B4">
        <v>5.0760004252984272</v>
      </c>
      <c r="C4">
        <v>5.799441708184041</v>
      </c>
      <c r="D4">
        <v>7.4345319526593583</v>
      </c>
      <c r="E4">
        <v>7.4980762412114599</v>
      </c>
      <c r="F4">
        <v>3.6687222248706335</v>
      </c>
      <c r="G4">
        <v>5.3906767046682651</v>
      </c>
      <c r="H4">
        <v>8.3089348531171563</v>
      </c>
      <c r="I4">
        <v>6.2523244798943658</v>
      </c>
      <c r="J4">
        <v>4.5950766993280059</v>
      </c>
      <c r="K4">
        <v>5.0695266166472397</v>
      </c>
      <c r="L4">
        <v>5.2960778066317573</v>
      </c>
    </row>
    <row r="5" spans="1:12" x14ac:dyDescent="0.3">
      <c r="A5" t="s">
        <v>17</v>
      </c>
      <c r="B5">
        <v>4.8795228197850609</v>
      </c>
      <c r="C5" t="e">
        <v>#NUM!</v>
      </c>
      <c r="D5">
        <v>7.5136854934036723</v>
      </c>
      <c r="E5">
        <v>7.5772297819557739</v>
      </c>
      <c r="F5">
        <v>3.7478757656149471</v>
      </c>
      <c r="G5">
        <v>5.3345971902981875</v>
      </c>
      <c r="H5">
        <v>8.3880883938614712</v>
      </c>
      <c r="I5">
        <v>6.3314780206386789</v>
      </c>
      <c r="J5">
        <v>4.3149032306986825</v>
      </c>
      <c r="K5">
        <v>5.1486801573915537</v>
      </c>
      <c r="L5" t="e">
        <v>#NUM!</v>
      </c>
    </row>
    <row r="6" spans="1:12" x14ac:dyDescent="0.3">
      <c r="A6" t="s">
        <v>21</v>
      </c>
      <c r="B6">
        <v>4.7045590932680765</v>
      </c>
      <c r="C6">
        <v>3.9157802730304239</v>
      </c>
      <c r="D6">
        <v>7.787773861108624</v>
      </c>
      <c r="E6">
        <v>7.159906728879843</v>
      </c>
      <c r="F6">
        <v>3.3201511939062587</v>
      </c>
      <c r="G6">
        <v>5.207804210717355</v>
      </c>
      <c r="H6">
        <v>7.9603638221527824</v>
      </c>
      <c r="I6">
        <v>5.9141549675627489</v>
      </c>
      <c r="J6">
        <v>4.1760573189110071</v>
      </c>
      <c r="K6">
        <v>4.7313571043156237</v>
      </c>
      <c r="L6">
        <v>3.1383414599108623</v>
      </c>
    </row>
    <row r="7" spans="1:12" x14ac:dyDescent="0.3">
      <c r="A7" t="s">
        <v>23</v>
      </c>
      <c r="B7">
        <v>4.162640685113244</v>
      </c>
      <c r="C7">
        <v>4.1945338739832527</v>
      </c>
      <c r="D7">
        <v>6.1280376585361855</v>
      </c>
      <c r="E7">
        <v>6.4571127623984896</v>
      </c>
      <c r="F7">
        <v>2.2910523396243492</v>
      </c>
      <c r="G7">
        <v>4.1496146843885517</v>
      </c>
      <c r="H7">
        <v>6.9333978714469282</v>
      </c>
      <c r="I7">
        <v>5.2131460724189536</v>
      </c>
      <c r="J7">
        <v>3.7438415073022395</v>
      </c>
      <c r="K7">
        <v>4.0303482091718283</v>
      </c>
      <c r="L7">
        <v>2.7991207256103481</v>
      </c>
    </row>
    <row r="8" spans="1:12" x14ac:dyDescent="0.3">
      <c r="A8" t="s">
        <v>48</v>
      </c>
      <c r="B8">
        <v>4.5674280572325303</v>
      </c>
      <c r="C8">
        <v>4.7937272246596123</v>
      </c>
      <c r="D8">
        <v>6.1152256827762201</v>
      </c>
      <c r="E8">
        <v>6.8520282325398032</v>
      </c>
      <c r="F8">
        <v>2.919791084016492</v>
      </c>
      <c r="G8">
        <v>4.6068181453250494</v>
      </c>
      <c r="H8">
        <v>7.5599454294363966</v>
      </c>
      <c r="I8">
        <v>5.6065063418054866</v>
      </c>
      <c r="J8">
        <v>3.2744478980609677</v>
      </c>
      <c r="K8">
        <v>4.4237084785583614</v>
      </c>
      <c r="L8">
        <v>4.016108616678487</v>
      </c>
    </row>
    <row r="9" spans="1:12" x14ac:dyDescent="0.3">
      <c r="A9" t="s">
        <v>18</v>
      </c>
      <c r="B9">
        <v>4.7303173043679978</v>
      </c>
      <c r="C9">
        <v>5.7522269484399029</v>
      </c>
      <c r="D9">
        <v>8.1978605810752612</v>
      </c>
      <c r="E9">
        <v>7.4171015918513961</v>
      </c>
      <c r="F9">
        <v>3.4621573845292963</v>
      </c>
      <c r="G9">
        <v>5.3150158215352574</v>
      </c>
      <c r="H9">
        <v>8.064635906166771</v>
      </c>
      <c r="I9">
        <v>6.1434128043379532</v>
      </c>
      <c r="J9">
        <v>4.5355947219372164</v>
      </c>
      <c r="K9">
        <v>4.960614941090828</v>
      </c>
      <c r="L9">
        <v>4.7656784959451421</v>
      </c>
    </row>
    <row r="10" spans="1:12" x14ac:dyDescent="0.3">
      <c r="A10" t="s">
        <v>19</v>
      </c>
      <c r="B10">
        <v>5.2221026501135865</v>
      </c>
      <c r="C10">
        <v>6.2630761551102863</v>
      </c>
      <c r="D10">
        <v>7.4456086510016402</v>
      </c>
      <c r="E10">
        <v>7.8063320526987754</v>
      </c>
      <c r="F10">
        <v>3.976978036357949</v>
      </c>
      <c r="G10">
        <v>5.8047792472271587</v>
      </c>
      <c r="H10">
        <v>8.5785483557144957</v>
      </c>
      <c r="I10">
        <v>6.6713066141441013</v>
      </c>
      <c r="J10">
        <v>4.7760657495830818</v>
      </c>
      <c r="K10">
        <v>5.3391401192445782</v>
      </c>
      <c r="L10">
        <v>5.2784160999499967</v>
      </c>
    </row>
    <row r="11" spans="1:12" x14ac:dyDescent="0.3">
      <c r="A11" t="s">
        <v>20</v>
      </c>
      <c r="B11">
        <v>4.8457198517402276</v>
      </c>
      <c r="C11" t="e">
        <v>#NUM!</v>
      </c>
      <c r="D11">
        <v>7.60653569777753</v>
      </c>
      <c r="E11">
        <v>7.7015186688514659</v>
      </c>
      <c r="F11">
        <v>3.5639742812500357</v>
      </c>
      <c r="G11">
        <v>5.7269159055103929</v>
      </c>
      <c r="H11">
        <v>8.2042453649084379</v>
      </c>
      <c r="I11">
        <v>6.7404594079492393</v>
      </c>
      <c r="J11">
        <v>4.8059384941307313</v>
      </c>
      <c r="K11">
        <v>4.6205058946457394</v>
      </c>
      <c r="L11" t="e">
        <v>#NUM!</v>
      </c>
    </row>
    <row r="12" spans="1:12" x14ac:dyDescent="0.3">
      <c r="A12" t="s">
        <v>37</v>
      </c>
      <c r="B12">
        <v>4.7226787073575851</v>
      </c>
      <c r="C12">
        <v>4.6441340550516523</v>
      </c>
      <c r="D12">
        <v>6.9810517673196593</v>
      </c>
      <c r="E12">
        <v>7.2004944988360293</v>
      </c>
      <c r="F12">
        <v>3.0959445404209083</v>
      </c>
      <c r="G12">
        <v>4.8791666937202942</v>
      </c>
      <c r="H12">
        <v>8.0116274472597908</v>
      </c>
      <c r="I12">
        <v>5.9547427375189343</v>
      </c>
      <c r="J12">
        <v>3.6629720055046433</v>
      </c>
      <c r="K12">
        <v>4.7719448742718091</v>
      </c>
      <c r="L12">
        <v>1.8823889492613484</v>
      </c>
    </row>
    <row r="13" spans="1:12" x14ac:dyDescent="0.3">
      <c r="A13" t="s">
        <v>38</v>
      </c>
      <c r="B13">
        <v>4.5790970677383172</v>
      </c>
      <c r="C13">
        <v>5.7405392120883327</v>
      </c>
      <c r="D13">
        <v>7.0483751997169968</v>
      </c>
      <c r="E13">
        <v>7.6009503311649667</v>
      </c>
      <c r="F13">
        <v>3.6670324949358934</v>
      </c>
      <c r="G13">
        <v>5.6364035787930069</v>
      </c>
      <c r="H13">
        <v>8.4213567192311274</v>
      </c>
      <c r="I13">
        <v>6.3551985698478717</v>
      </c>
      <c r="J13">
        <v>4.2116930218627466</v>
      </c>
      <c r="K13">
        <v>5.1724007066007465</v>
      </c>
      <c r="L13">
        <v>3.829108846751418</v>
      </c>
    </row>
    <row r="14" spans="1:12" x14ac:dyDescent="0.3">
      <c r="A14" t="s">
        <v>47</v>
      </c>
      <c r="B14">
        <v>4.9329259892213244</v>
      </c>
      <c r="C14">
        <v>4.3390261469672318</v>
      </c>
      <c r="D14">
        <v>7.6379538428826761</v>
      </c>
      <c r="E14">
        <v>7.4326666125695313</v>
      </c>
      <c r="F14">
        <v>3.4525289118052886</v>
      </c>
      <c r="G14">
        <v>4.6801299903107365</v>
      </c>
      <c r="H14">
        <v>8.2512029706750649</v>
      </c>
      <c r="I14">
        <v>5.6396453274824543</v>
      </c>
      <c r="J14">
        <v>4.4253950323527489</v>
      </c>
      <c r="K14">
        <v>5.0041169880053111</v>
      </c>
      <c r="L14">
        <v>3.5652185456535777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0B90-3FBA-45E9-949B-0F011D949EE1}">
  <dimension ref="A1:L14"/>
  <sheetViews>
    <sheetView workbookViewId="0">
      <selection sqref="A1:L14"/>
    </sheetView>
  </sheetViews>
  <sheetFormatPr defaultRowHeight="14.4" x14ac:dyDescent="0.3"/>
  <cols>
    <col min="1" max="1" width="19" customWidth="1"/>
  </cols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5382.0302578952542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15</v>
      </c>
      <c r="B3">
        <v>547.2293511092173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16</v>
      </c>
      <c r="B4">
        <v>683.18404233739091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40.625000000000021</v>
      </c>
    </row>
    <row r="5" spans="1:12" x14ac:dyDescent="0.3">
      <c r="A5" t="s">
        <v>17</v>
      </c>
      <c r="B5">
        <v>75.26051750032201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21</v>
      </c>
      <c r="B6">
        <v>495.23035164239656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23</v>
      </c>
      <c r="B7">
        <v>72.984504060000006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48</v>
      </c>
      <c r="B8">
        <v>9.18143712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18</v>
      </c>
      <c r="B9">
        <v>130.8439645592253</v>
      </c>
      <c r="C9">
        <v>0</v>
      </c>
      <c r="D9">
        <v>3.2258064516129039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19</v>
      </c>
      <c r="B10">
        <v>2158.1075014482872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20</v>
      </c>
      <c r="B11">
        <v>65.349098380566886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1.5071729957805897</v>
      </c>
      <c r="J11">
        <v>62.272000000000133</v>
      </c>
      <c r="K11">
        <v>0</v>
      </c>
      <c r="L11">
        <v>0</v>
      </c>
    </row>
    <row r="12" spans="1:12" x14ac:dyDescent="0.3">
      <c r="A12" t="s">
        <v>37</v>
      </c>
      <c r="B12">
        <v>137.83789791268629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38</v>
      </c>
      <c r="B13">
        <v>561.42170813878613</v>
      </c>
      <c r="C13">
        <v>22.200000000000017</v>
      </c>
      <c r="D13">
        <v>0</v>
      </c>
      <c r="E13">
        <v>150.57236842105263</v>
      </c>
      <c r="F13">
        <v>0</v>
      </c>
      <c r="G13">
        <v>62.999999999999943</v>
      </c>
      <c r="H13">
        <v>0.38251366120218588</v>
      </c>
      <c r="I13">
        <v>0</v>
      </c>
      <c r="J13">
        <v>0</v>
      </c>
      <c r="K13">
        <v>482.00000000000063</v>
      </c>
      <c r="L13">
        <v>0</v>
      </c>
    </row>
    <row r="14" spans="1:12" x14ac:dyDescent="0.3">
      <c r="A14" t="s">
        <v>47</v>
      </c>
      <c r="B14">
        <v>130.42692124352357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49EE-A9A5-4F09-AEA3-4E7930675898}">
  <dimension ref="A1:L14"/>
  <sheetViews>
    <sheetView workbookViewId="0">
      <selection sqref="A1:L14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5.5941974006687625</v>
      </c>
      <c r="C2" t="e">
        <v>#NUM!</v>
      </c>
      <c r="D2">
        <v>5.6582007925554629</v>
      </c>
      <c r="E2" t="e">
        <v>#NUM!</v>
      </c>
      <c r="F2">
        <v>5.180283851882594</v>
      </c>
      <c r="G2">
        <v>6.2556950909779339</v>
      </c>
      <c r="H2">
        <v>5.2464947443239431</v>
      </c>
      <c r="I2" t="e">
        <v>#NUM!</v>
      </c>
      <c r="J2">
        <v>6.3879570114834019</v>
      </c>
      <c r="K2">
        <v>5.885622978752945</v>
      </c>
      <c r="L2">
        <v>4.767019744697051</v>
      </c>
    </row>
    <row r="3" spans="1:12" x14ac:dyDescent="0.3">
      <c r="A3" t="s">
        <v>15</v>
      </c>
      <c r="B3">
        <v>5.6728413452808946</v>
      </c>
      <c r="C3" t="e">
        <v>#NUM!</v>
      </c>
      <c r="D3">
        <v>6.2988580819375732</v>
      </c>
      <c r="E3" t="e">
        <v>#NUM!</v>
      </c>
      <c r="F3">
        <v>5.6494201861114401</v>
      </c>
      <c r="G3">
        <v>6.407201538641468</v>
      </c>
      <c r="H3">
        <v>5.0931172663981812</v>
      </c>
      <c r="I3" t="e">
        <v>#NUM!</v>
      </c>
      <c r="J3">
        <v>6.243940733568726</v>
      </c>
      <c r="K3">
        <v>5.7956952719690111</v>
      </c>
      <c r="L3">
        <v>4.2465636036645087</v>
      </c>
    </row>
    <row r="4" spans="1:12" x14ac:dyDescent="0.3">
      <c r="A4" t="s">
        <v>16</v>
      </c>
      <c r="B4">
        <v>5.3785855344976037</v>
      </c>
      <c r="C4" t="e">
        <v>#NUM!</v>
      </c>
      <c r="D4">
        <v>5.9909907179355475</v>
      </c>
      <c r="E4" t="e">
        <v>#NUM!</v>
      </c>
      <c r="F4">
        <v>5.3415528221094153</v>
      </c>
      <c r="G4">
        <v>6.1194135815177919</v>
      </c>
      <c r="H4">
        <v>4.7852499023961563</v>
      </c>
      <c r="I4" t="e">
        <v>#NUM!</v>
      </c>
      <c r="J4">
        <v>6.060116189723959</v>
      </c>
      <c r="K4">
        <v>5.4878279079669854</v>
      </c>
      <c r="L4">
        <v>5.09714440208736</v>
      </c>
    </row>
    <row r="5" spans="1:12" x14ac:dyDescent="0.3">
      <c r="A5" t="s">
        <v>17</v>
      </c>
      <c r="B5">
        <v>5.1821079289842373</v>
      </c>
      <c r="C5" t="e">
        <v>#NUM!</v>
      </c>
      <c r="D5">
        <v>6.0701442586798615</v>
      </c>
      <c r="E5" t="e">
        <v>#NUM!</v>
      </c>
      <c r="F5">
        <v>5.4207063628537284</v>
      </c>
      <c r="G5">
        <v>6.0633340671477143</v>
      </c>
      <c r="H5">
        <v>4.8644034431404695</v>
      </c>
      <c r="I5" t="e">
        <v>#NUM!</v>
      </c>
      <c r="J5">
        <v>5.7799427210946357</v>
      </c>
      <c r="K5">
        <v>5.5669814487112994</v>
      </c>
      <c r="L5" t="e">
        <v>#NUM!</v>
      </c>
    </row>
    <row r="6" spans="1:12" x14ac:dyDescent="0.3">
      <c r="A6" t="s">
        <v>21</v>
      </c>
      <c r="B6">
        <v>5.007144202467253</v>
      </c>
      <c r="C6" t="e">
        <v>#NUM!</v>
      </c>
      <c r="D6">
        <v>6.3442326263848132</v>
      </c>
      <c r="E6" t="e">
        <v>#NUM!</v>
      </c>
      <c r="F6">
        <v>4.9929817911450405</v>
      </c>
      <c r="G6">
        <v>5.9365410875668827</v>
      </c>
      <c r="H6">
        <v>4.4366788714317815</v>
      </c>
      <c r="I6" t="e">
        <v>#NUM!</v>
      </c>
      <c r="J6">
        <v>5.6410968093069611</v>
      </c>
      <c r="K6">
        <v>5.1496583956353685</v>
      </c>
      <c r="L6">
        <v>2.939408055366465</v>
      </c>
    </row>
    <row r="7" spans="1:12" x14ac:dyDescent="0.3">
      <c r="A7" t="s">
        <v>23</v>
      </c>
      <c r="B7">
        <v>4.4652257943124205</v>
      </c>
      <c r="C7" t="e">
        <v>#NUM!</v>
      </c>
      <c r="D7">
        <v>4.6844964238123747</v>
      </c>
      <c r="E7" t="e">
        <v>#NUM!</v>
      </c>
      <c r="F7">
        <v>3.9638829368631305</v>
      </c>
      <c r="G7">
        <v>4.8783515612380786</v>
      </c>
      <c r="H7">
        <v>3.4097129207259269</v>
      </c>
      <c r="I7" t="e">
        <v>#NUM!</v>
      </c>
      <c r="J7">
        <v>5.2088809976981931</v>
      </c>
      <c r="K7">
        <v>4.448649500491574</v>
      </c>
      <c r="L7">
        <v>2.6001873210659512</v>
      </c>
    </row>
    <row r="8" spans="1:12" x14ac:dyDescent="0.3">
      <c r="A8" t="s">
        <v>48</v>
      </c>
      <c r="B8">
        <v>4.8700131664317068</v>
      </c>
      <c r="C8" t="e">
        <v>#NUM!</v>
      </c>
      <c r="D8">
        <v>4.6716844480524093</v>
      </c>
      <c r="E8" t="e">
        <v>#NUM!</v>
      </c>
      <c r="F8">
        <v>4.5926216812552738</v>
      </c>
      <c r="G8">
        <v>5.3355550221745771</v>
      </c>
      <c r="H8">
        <v>4.0362604787153948</v>
      </c>
      <c r="I8" t="e">
        <v>#NUM!</v>
      </c>
      <c r="J8">
        <v>4.7394873884569213</v>
      </c>
      <c r="K8">
        <v>4.8420097698781062</v>
      </c>
      <c r="L8">
        <v>3.8171752121340901</v>
      </c>
    </row>
    <row r="9" spans="1:12" x14ac:dyDescent="0.3">
      <c r="A9" t="s">
        <v>18</v>
      </c>
      <c r="B9">
        <v>5.0329024135671743</v>
      </c>
      <c r="C9" t="e">
        <v>#NUM!</v>
      </c>
      <c r="D9">
        <v>6.7543193463514495</v>
      </c>
      <c r="E9" t="e">
        <v>#NUM!</v>
      </c>
      <c r="F9">
        <v>5.1349879817680781</v>
      </c>
      <c r="G9">
        <v>6.0437526983847842</v>
      </c>
      <c r="H9">
        <v>4.5409509554457701</v>
      </c>
      <c r="I9" t="e">
        <v>#NUM!</v>
      </c>
      <c r="J9">
        <v>6.0006342123331704</v>
      </c>
      <c r="K9">
        <v>5.3789162324105737</v>
      </c>
      <c r="L9">
        <v>4.5667450914007448</v>
      </c>
    </row>
    <row r="10" spans="1:12" x14ac:dyDescent="0.3">
      <c r="A10" t="s">
        <v>19</v>
      </c>
      <c r="B10">
        <v>5.524687759312763</v>
      </c>
      <c r="C10" t="e">
        <v>#NUM!</v>
      </c>
      <c r="D10">
        <v>6.0020674162778294</v>
      </c>
      <c r="E10" t="e">
        <v>#NUM!</v>
      </c>
      <c r="F10">
        <v>5.6498086335967308</v>
      </c>
      <c r="G10">
        <v>6.5335161240766855</v>
      </c>
      <c r="H10">
        <v>5.054863404993494</v>
      </c>
      <c r="I10" t="e">
        <v>#NUM!</v>
      </c>
      <c r="J10">
        <v>6.2411052399790359</v>
      </c>
      <c r="K10">
        <v>5.7574414105643239</v>
      </c>
      <c r="L10">
        <v>5.0794826954055994</v>
      </c>
    </row>
    <row r="11" spans="1:12" x14ac:dyDescent="0.3">
      <c r="A11" t="s">
        <v>20</v>
      </c>
      <c r="B11">
        <v>5.148304960939404</v>
      </c>
      <c r="C11" t="e">
        <v>#NUM!</v>
      </c>
      <c r="D11">
        <v>6.1629944630537192</v>
      </c>
      <c r="E11" t="e">
        <v>#NUM!</v>
      </c>
      <c r="F11">
        <v>5.236804878488817</v>
      </c>
      <c r="G11">
        <v>6.4556527823599197</v>
      </c>
      <c r="H11">
        <v>4.680560414187438</v>
      </c>
      <c r="I11" t="e">
        <v>#NUM!</v>
      </c>
      <c r="J11">
        <v>6.2709779845266853</v>
      </c>
      <c r="K11">
        <v>5.038807185965485</v>
      </c>
      <c r="L11" t="e">
        <v>#NUM!</v>
      </c>
    </row>
    <row r="12" spans="1:12" x14ac:dyDescent="0.3">
      <c r="A12" t="s">
        <v>37</v>
      </c>
      <c r="B12">
        <v>5.0252638165567616</v>
      </c>
      <c r="C12" t="e">
        <v>#NUM!</v>
      </c>
      <c r="D12">
        <v>5.5375105325958476</v>
      </c>
      <c r="E12" t="e">
        <v>#NUM!</v>
      </c>
      <c r="F12">
        <v>4.7687751376596896</v>
      </c>
      <c r="G12">
        <v>5.607903570569821</v>
      </c>
      <c r="H12">
        <v>4.4879424965387891</v>
      </c>
      <c r="I12" t="e">
        <v>#NUM!</v>
      </c>
      <c r="J12">
        <v>5.1280114959005969</v>
      </c>
      <c r="K12">
        <v>5.1902461655915548</v>
      </c>
      <c r="L12">
        <v>1.6834555447169512</v>
      </c>
    </row>
    <row r="13" spans="1:12" x14ac:dyDescent="0.3">
      <c r="A13" t="s">
        <v>38</v>
      </c>
      <c r="B13">
        <v>4.8816821769374936</v>
      </c>
      <c r="C13" t="e">
        <v>#NUM!</v>
      </c>
      <c r="D13">
        <v>5.604833964993186</v>
      </c>
      <c r="E13" t="e">
        <v>#NUM!</v>
      </c>
      <c r="F13">
        <v>5.3398630921746744</v>
      </c>
      <c r="G13">
        <v>6.3651404556425337</v>
      </c>
      <c r="H13">
        <v>4.8976717685101265</v>
      </c>
      <c r="I13" t="e">
        <v>#NUM!</v>
      </c>
      <c r="J13">
        <v>5.6767325122587007</v>
      </c>
      <c r="K13">
        <v>5.5907019979204922</v>
      </c>
      <c r="L13">
        <v>3.6301754422070212</v>
      </c>
    </row>
    <row r="14" spans="1:12" x14ac:dyDescent="0.3">
      <c r="A14" t="s">
        <v>47</v>
      </c>
      <c r="B14">
        <v>5.2355110984205009</v>
      </c>
      <c r="C14" t="e">
        <v>#NUM!</v>
      </c>
      <c r="D14">
        <v>6.1944126081588653</v>
      </c>
      <c r="E14" t="e">
        <v>#NUM!</v>
      </c>
      <c r="F14">
        <v>5.1253595090440704</v>
      </c>
      <c r="G14">
        <v>5.4088668671602633</v>
      </c>
      <c r="H14">
        <v>4.7275180199540641</v>
      </c>
      <c r="I14" t="e">
        <v>#NUM!</v>
      </c>
      <c r="J14">
        <v>5.8904345227487021</v>
      </c>
      <c r="K14">
        <v>5.4224182793250568</v>
      </c>
      <c r="L14">
        <v>3.3662851411091803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C16C-FA58-4490-9D55-BF4EC1C290D1}">
  <dimension ref="A1:L14"/>
  <sheetViews>
    <sheetView workbookViewId="0">
      <selection activeCell="E32" sqref="E32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5382.0302578952542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15</v>
      </c>
      <c r="B3">
        <v>547.2293511092173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16</v>
      </c>
      <c r="B4">
        <v>780.88798612908158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17</v>
      </c>
      <c r="B5">
        <v>75.26051750032201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21</v>
      </c>
      <c r="B6">
        <v>495.23035164239656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23</v>
      </c>
      <c r="B7">
        <v>72.984504060000006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48</v>
      </c>
      <c r="B8">
        <v>9.18143712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18</v>
      </c>
      <c r="B9">
        <v>130.8439645592253</v>
      </c>
      <c r="C9">
        <v>0</v>
      </c>
      <c r="D9">
        <v>3.2258064516129039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19</v>
      </c>
      <c r="B10">
        <v>2158.1075014482872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20</v>
      </c>
      <c r="B11">
        <v>65.882801130119205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62.272000000000133</v>
      </c>
      <c r="K11">
        <v>0</v>
      </c>
      <c r="L11">
        <v>0</v>
      </c>
    </row>
    <row r="12" spans="1:12" x14ac:dyDescent="0.3">
      <c r="A12" t="s">
        <v>37</v>
      </c>
      <c r="B12">
        <v>137.83789791268629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38</v>
      </c>
      <c r="B13">
        <v>114.48838476381367</v>
      </c>
      <c r="C13">
        <v>0</v>
      </c>
      <c r="D13">
        <v>0</v>
      </c>
      <c r="E13">
        <v>0</v>
      </c>
      <c r="F13">
        <v>283.00000000000006</v>
      </c>
      <c r="G13">
        <v>62.999999999999943</v>
      </c>
      <c r="H13">
        <v>0.38251366120218588</v>
      </c>
      <c r="I13">
        <v>0</v>
      </c>
      <c r="J13">
        <v>0</v>
      </c>
      <c r="K13">
        <v>482.00000000000063</v>
      </c>
      <c r="L13">
        <v>0</v>
      </c>
    </row>
    <row r="14" spans="1:12" x14ac:dyDescent="0.3">
      <c r="A14" t="s">
        <v>47</v>
      </c>
      <c r="B14">
        <v>130.42692124352357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FC97-73DD-41D2-AFE0-20888864D0DD}">
  <dimension ref="A1:L20"/>
  <sheetViews>
    <sheetView workbookViewId="0">
      <selection sqref="A1:L20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34</v>
      </c>
      <c r="B2">
        <v>0.33087648399945879</v>
      </c>
      <c r="C2">
        <v>1.4750590909090908E-2</v>
      </c>
      <c r="D2">
        <v>0.24771833333333332</v>
      </c>
      <c r="E2">
        <v>0.30681684999999992</v>
      </c>
      <c r="F2">
        <v>6.016016666666666E-2</v>
      </c>
      <c r="G2">
        <v>0.36914938406926401</v>
      </c>
      <c r="H2">
        <v>8.3693408333333316E-2</v>
      </c>
      <c r="I2">
        <v>0.20216666666666666</v>
      </c>
      <c r="J2">
        <v>0.46233619117153679</v>
      </c>
      <c r="K2">
        <v>0.34064023259259252</v>
      </c>
      <c r="L2">
        <v>9.8562241735537202E-3</v>
      </c>
    </row>
    <row r="3" spans="1:12" x14ac:dyDescent="0.3">
      <c r="A3" t="s">
        <v>35</v>
      </c>
      <c r="B3">
        <v>0.16803900115226336</v>
      </c>
      <c r="C3">
        <v>5.5630799999999994E-2</v>
      </c>
      <c r="D3">
        <v>0.12192444444444446</v>
      </c>
      <c r="E3">
        <v>0.15101213333333335</v>
      </c>
      <c r="F3">
        <v>2.9610222222222225E-2</v>
      </c>
      <c r="G3">
        <v>0.19028922222222225</v>
      </c>
      <c r="H3">
        <v>4.1193044444444445E-2</v>
      </c>
      <c r="I3">
        <v>9.0752428148148157E-2</v>
      </c>
      <c r="J3">
        <v>0.30278429629629627</v>
      </c>
      <c r="K3">
        <v>0.16765965827160495</v>
      </c>
      <c r="L3">
        <v>6.9870101010101007E-2</v>
      </c>
    </row>
    <row r="4" spans="1:12" x14ac:dyDescent="0.3">
      <c r="A4" t="s">
        <v>17</v>
      </c>
      <c r="B4">
        <v>0.10688887000000001</v>
      </c>
      <c r="C4">
        <v>0</v>
      </c>
      <c r="D4">
        <v>0.14630000000000001</v>
      </c>
      <c r="E4">
        <v>0.181203</v>
      </c>
      <c r="F4">
        <v>3.5529999999999999E-2</v>
      </c>
      <c r="G4">
        <v>0.16723788888888888</v>
      </c>
      <c r="H4">
        <v>4.9428499999999993E-2</v>
      </c>
      <c r="I4">
        <v>0.10889596666666666</v>
      </c>
      <c r="J4">
        <v>0.15884000000000001</v>
      </c>
      <c r="K4">
        <v>0.20117875555555553</v>
      </c>
      <c r="L4">
        <v>0</v>
      </c>
    </row>
    <row r="5" spans="1:12" x14ac:dyDescent="0.3">
      <c r="A5" t="s">
        <v>36</v>
      </c>
      <c r="B5">
        <v>7.1444493113859669E-2</v>
      </c>
      <c r="C5">
        <v>7.272E-4</v>
      </c>
      <c r="D5">
        <v>0.27500000000000002</v>
      </c>
      <c r="E5">
        <v>6.9317410526315792E-2</v>
      </c>
      <c r="F5">
        <v>1.3269991228070179E-2</v>
      </c>
      <c r="G5">
        <v>0.12489403508771933</v>
      </c>
      <c r="H5">
        <v>1.8460899561403513E-2</v>
      </c>
      <c r="I5">
        <v>4.1657072046783636E-2</v>
      </c>
      <c r="J5">
        <v>0.11537559842105265</v>
      </c>
      <c r="K5">
        <v>7.695893769980508E-2</v>
      </c>
      <c r="L5">
        <v>4.8590909090909099E-4</v>
      </c>
    </row>
    <row r="6" spans="1:12" x14ac:dyDescent="0.3">
      <c r="A6" t="s">
        <v>22</v>
      </c>
      <c r="B6">
        <v>6.3954511388100849E-2</v>
      </c>
      <c r="C6">
        <v>7.5893236363636465E-4</v>
      </c>
      <c r="D6">
        <v>4.1060576355555559E-2</v>
      </c>
      <c r="E6">
        <v>5.0856456714666667E-2</v>
      </c>
      <c r="F6">
        <v>9.9718542577777788E-3</v>
      </c>
      <c r="G6">
        <v>3.9829497725137088E-2</v>
      </c>
      <c r="H6">
        <v>1.3872609011555556E-2</v>
      </c>
      <c r="I6">
        <v>3.056275566731852E-2</v>
      </c>
      <c r="J6">
        <v>4.5373217965252531E-2</v>
      </c>
      <c r="K6">
        <v>5.6462854775150617E-2</v>
      </c>
      <c r="L6">
        <v>5.0711239669421512E-4</v>
      </c>
    </row>
    <row r="7" spans="1:12" x14ac:dyDescent="0.3">
      <c r="A7" t="s">
        <v>37</v>
      </c>
      <c r="B7">
        <v>7.448835328466033E-2</v>
      </c>
      <c r="C7">
        <v>3.8905200000000002E-3</v>
      </c>
      <c r="D7">
        <v>4.2915146561368425E-2</v>
      </c>
      <c r="E7">
        <v>7.6107963366842113E-2</v>
      </c>
      <c r="F7">
        <v>7.9188840192982481E-3</v>
      </c>
      <c r="G7">
        <v>5.8600885702791067E-2</v>
      </c>
      <c r="H7">
        <v>2.077382575609649E-2</v>
      </c>
      <c r="I7">
        <v>4.5737930618497076E-2</v>
      </c>
      <c r="J7">
        <v>3.540206973333334E-2</v>
      </c>
      <c r="K7">
        <v>8.4498078718393765E-2</v>
      </c>
      <c r="L7">
        <v>2.695271466942149E-5</v>
      </c>
    </row>
    <row r="8" spans="1:12" x14ac:dyDescent="0.3">
      <c r="A8" t="s">
        <v>38</v>
      </c>
      <c r="B8">
        <v>5.3518845188938589E-2</v>
      </c>
      <c r="C8">
        <v>4.8575E-2</v>
      </c>
      <c r="D8">
        <v>5.011111111111112E-2</v>
      </c>
      <c r="E8">
        <v>0.19137532127910523</v>
      </c>
      <c r="F8">
        <v>2.9495240168245614E-2</v>
      </c>
      <c r="G8">
        <v>0.33507425845302624</v>
      </c>
      <c r="H8">
        <v>5.3363678198074548E-2</v>
      </c>
      <c r="I8">
        <v>0.11500913675177601</v>
      </c>
      <c r="J8">
        <v>0.12524190635446972</v>
      </c>
      <c r="K8">
        <v>0.21247246998656216</v>
      </c>
      <c r="L8">
        <v>2.3840887106267219E-3</v>
      </c>
    </row>
    <row r="9" spans="1:12" x14ac:dyDescent="0.3">
      <c r="A9" t="s">
        <v>39</v>
      </c>
      <c r="B9">
        <v>0.12087476848874665</v>
      </c>
      <c r="C9">
        <v>1.9270800000000001E-3</v>
      </c>
      <c r="D9">
        <v>0.19476578947368423</v>
      </c>
      <c r="E9">
        <v>0.12989792515789472</v>
      </c>
      <c r="F9">
        <v>1.7998999035087719E-2</v>
      </c>
      <c r="G9">
        <v>3.7056762719298239E-2</v>
      </c>
      <c r="H9">
        <v>3.606550419517543E-2</v>
      </c>
      <c r="I9">
        <v>2.2140075692982451E-2</v>
      </c>
      <c r="J9">
        <v>0.20485741112706943</v>
      </c>
      <c r="K9">
        <v>0.14421782714697853</v>
      </c>
      <c r="L9">
        <v>1.2984705681818181E-3</v>
      </c>
    </row>
    <row r="10" spans="1:12" x14ac:dyDescent="0.3">
      <c r="A10" t="s">
        <v>11</v>
      </c>
      <c r="B10">
        <v>0.27607174320707073</v>
      </c>
      <c r="C10">
        <v>5.4253630107629611E-2</v>
      </c>
      <c r="D10">
        <v>5.666316904668911E-2</v>
      </c>
      <c r="E10">
        <v>5.2499999999999998E-2</v>
      </c>
      <c r="F10">
        <v>2.0425499999999999E-2</v>
      </c>
      <c r="G10">
        <v>0.26043281214839853</v>
      </c>
      <c r="H10">
        <v>0.11914305514403292</v>
      </c>
      <c r="I10">
        <v>0.24195604807903462</v>
      </c>
      <c r="J10">
        <v>0.64413095238095242</v>
      </c>
      <c r="K10">
        <v>0.41900928561266981</v>
      </c>
      <c r="L10">
        <v>3.2671322433221101E-2</v>
      </c>
    </row>
    <row r="11" spans="1:12" x14ac:dyDescent="0.3">
      <c r="A11" t="s">
        <v>40</v>
      </c>
      <c r="B11">
        <v>0.49633333333333302</v>
      </c>
      <c r="C11">
        <v>0</v>
      </c>
      <c r="D11">
        <v>5.84305555555555E-2</v>
      </c>
      <c r="E11">
        <v>7.2370416666666659E-2</v>
      </c>
      <c r="F11">
        <v>1.4190277777777777E-2</v>
      </c>
      <c r="G11">
        <v>5.5687896825396821E-2</v>
      </c>
      <c r="H11">
        <v>5.8430555555555555E-2</v>
      </c>
      <c r="I11">
        <v>4.3491810185185178E-2</v>
      </c>
      <c r="J11">
        <v>6.3438888888888878E-2</v>
      </c>
      <c r="K11">
        <v>8.0348506172839493E-2</v>
      </c>
      <c r="L11">
        <v>0</v>
      </c>
    </row>
    <row r="12" spans="1:12" x14ac:dyDescent="0.3">
      <c r="A12" t="s">
        <v>41</v>
      </c>
      <c r="B12">
        <v>1.0718750000000001E-2</v>
      </c>
      <c r="C12">
        <v>5.6357999999999998E-2</v>
      </c>
      <c r="D12">
        <v>0.18989444444444448</v>
      </c>
      <c r="E12">
        <v>0.23519783333333333</v>
      </c>
      <c r="F12">
        <v>4.6117222222222226E-2</v>
      </c>
      <c r="G12">
        <v>0.23268460317460318</v>
      </c>
      <c r="H12">
        <v>0.18989444444444448</v>
      </c>
      <c r="I12">
        <v>0.14134476481481481</v>
      </c>
      <c r="J12">
        <v>0.26507111111111115</v>
      </c>
      <c r="K12">
        <v>0.26112596049382714</v>
      </c>
      <c r="L12">
        <v>3.765795454545455E-2</v>
      </c>
    </row>
    <row r="13" spans="1:12" x14ac:dyDescent="0.3">
      <c r="A13" t="s">
        <v>42</v>
      </c>
      <c r="B13">
        <v>0.21621000000000001</v>
      </c>
      <c r="C13">
        <v>5.0809050818181822E-2</v>
      </c>
      <c r="D13">
        <v>0.25091930029239767</v>
      </c>
      <c r="E13">
        <v>0.31078147621929825</v>
      </c>
      <c r="F13">
        <v>1.5368400000000003E-2</v>
      </c>
      <c r="G13">
        <v>0.28575434795492521</v>
      </c>
      <c r="H13">
        <v>8.4128237095029243E-2</v>
      </c>
      <c r="I13">
        <v>0.18676759918430799</v>
      </c>
      <c r="J13">
        <v>0.32552743707070708</v>
      </c>
      <c r="K13">
        <v>0.34504191782430149</v>
      </c>
      <c r="L13">
        <v>3.3950192097107444E-2</v>
      </c>
    </row>
    <row r="14" spans="1:12" x14ac:dyDescent="0.3">
      <c r="A14" t="s">
        <v>43</v>
      </c>
      <c r="B14">
        <v>0.12896649825000001</v>
      </c>
      <c r="C14">
        <v>3.5697504272727269E-2</v>
      </c>
      <c r="D14">
        <v>0.10423547105263159</v>
      </c>
      <c r="E14">
        <v>0.12910307628947368</v>
      </c>
      <c r="F14">
        <v>6.0788786388888891E-3</v>
      </c>
      <c r="G14">
        <v>5.5730757384559883E-2</v>
      </c>
      <c r="H14">
        <v>3.4728761592105258E-2</v>
      </c>
      <c r="I14">
        <v>7.7585935620175434E-2</v>
      </c>
      <c r="J14">
        <v>0.26755260000000003</v>
      </c>
      <c r="K14">
        <v>0.14333535441637427</v>
      </c>
      <c r="L14">
        <v>0.18929400000000002</v>
      </c>
    </row>
    <row r="15" spans="1:12" x14ac:dyDescent="0.3">
      <c r="A15" t="s">
        <v>44</v>
      </c>
      <c r="B15">
        <v>1.1099365342023266E-2</v>
      </c>
      <c r="C15">
        <v>1.839816E-2</v>
      </c>
      <c r="D15">
        <v>1.8900000000000004E-2</v>
      </c>
      <c r="E15">
        <v>2.3409000000000003E-2</v>
      </c>
      <c r="F15">
        <v>1.2039692873684212E-3</v>
      </c>
      <c r="G15">
        <v>3.4891571428571432E-2</v>
      </c>
      <c r="H15">
        <v>6.3855000000000006E-3</v>
      </c>
      <c r="I15">
        <v>1.4067900000000001E-2</v>
      </c>
      <c r="J15">
        <v>7.4340426666666667E-2</v>
      </c>
      <c r="K15">
        <v>2.5989600000000002E-2</v>
      </c>
      <c r="L15">
        <v>1.2293500000000001E-2</v>
      </c>
    </row>
    <row r="16" spans="1:12" x14ac:dyDescent="0.3">
      <c r="A16" t="s">
        <v>45</v>
      </c>
      <c r="B16">
        <v>3.957939382716049E-2</v>
      </c>
      <c r="C16">
        <v>4.434845727272727E-3</v>
      </c>
      <c r="D16">
        <v>5.4206561111111121E-2</v>
      </c>
      <c r="E16">
        <v>6.713869783333333E-2</v>
      </c>
      <c r="F16">
        <v>1.7256574162694445E-2</v>
      </c>
      <c r="G16">
        <v>0.124</v>
      </c>
      <c r="H16">
        <v>1.831407386111111E-2</v>
      </c>
      <c r="I16">
        <v>4.0347750320370371E-2</v>
      </c>
      <c r="J16">
        <v>0</v>
      </c>
      <c r="K16">
        <v>7.4540044479012343E-2</v>
      </c>
      <c r="L16">
        <v>2.9633276342975207E-3</v>
      </c>
    </row>
    <row r="17" spans="1:12" x14ac:dyDescent="0.3">
      <c r="A17" t="s">
        <v>46</v>
      </c>
      <c r="B17">
        <v>2.0514000000000001E-2</v>
      </c>
      <c r="C17">
        <v>1.3816799999999999E-3</v>
      </c>
      <c r="D17">
        <v>6.0200000000000002E-3</v>
      </c>
      <c r="E17">
        <v>1.3741949999999999E-2</v>
      </c>
      <c r="F17">
        <v>1.2409999999999999E-3</v>
      </c>
      <c r="G17">
        <v>1.0923257477132223E-2</v>
      </c>
      <c r="H17">
        <v>1.734949782339181E-3</v>
      </c>
      <c r="I17">
        <v>8.292392425306043E-3</v>
      </c>
      <c r="J17">
        <v>4.2647949473684221E-2</v>
      </c>
      <c r="K17">
        <v>1.5319696769008448E-2</v>
      </c>
      <c r="L17">
        <v>2.2250219008264463E-4</v>
      </c>
    </row>
    <row r="18" spans="1:12" x14ac:dyDescent="0.3">
      <c r="A18" t="s">
        <v>24</v>
      </c>
      <c r="B18">
        <v>5.21E-2</v>
      </c>
      <c r="C18">
        <v>5.4903599999999997E-3</v>
      </c>
      <c r="D18">
        <v>5.8450000000000004E-3</v>
      </c>
      <c r="E18">
        <v>3.411645E-2</v>
      </c>
      <c r="F18">
        <v>5.2785000000000002E-3</v>
      </c>
      <c r="G18">
        <v>3.1300813988095234E-2</v>
      </c>
      <c r="H18">
        <v>7.3423395833333328E-3</v>
      </c>
      <c r="I18">
        <v>2.0513516527777779E-2</v>
      </c>
      <c r="J18">
        <v>1.44712E-2</v>
      </c>
      <c r="K18">
        <v>3.7897489259259259E-2</v>
      </c>
      <c r="L18">
        <v>3.6670951704545459E-3</v>
      </c>
    </row>
    <row r="19" spans="1:12" x14ac:dyDescent="0.3">
      <c r="A19" t="s">
        <v>27</v>
      </c>
      <c r="B19">
        <v>5.9757173785318307E-2</v>
      </c>
      <c r="C19">
        <v>1.0907999999999998E-4</v>
      </c>
      <c r="D19">
        <v>4.8803588228070197E-2</v>
      </c>
      <c r="E19">
        <v>6.0446729991052633E-2</v>
      </c>
      <c r="F19">
        <v>3.7902736824561409E-3</v>
      </c>
      <c r="G19">
        <v>4.6597618091854628E-2</v>
      </c>
      <c r="H19">
        <v>5.2729395641228066E-3</v>
      </c>
      <c r="I19">
        <v>3.6326137504426904E-2</v>
      </c>
      <c r="J19">
        <v>6.1321013902463938E-2</v>
      </c>
      <c r="K19">
        <v>6.7110356434510715E-2</v>
      </c>
      <c r="L19">
        <v>6.1771193181818187E-5</v>
      </c>
    </row>
    <row r="20" spans="1:12" x14ac:dyDescent="0.3">
      <c r="A20" t="s">
        <v>28</v>
      </c>
      <c r="B20">
        <v>0.26593833892525254</v>
      </c>
      <c r="C20">
        <v>3.7272635999999998E-2</v>
      </c>
      <c r="D20">
        <v>4.1922500000000001E-2</v>
      </c>
      <c r="E20">
        <v>0.2477019</v>
      </c>
      <c r="F20">
        <v>3.1926000000000003E-2</v>
      </c>
      <c r="G20">
        <v>0.22479712142857144</v>
      </c>
      <c r="H20">
        <v>4.4414700000000001E-2</v>
      </c>
      <c r="I20">
        <v>0.14885922333333335</v>
      </c>
      <c r="J20">
        <v>0.35591860000000003</v>
      </c>
      <c r="K20">
        <v>0.2750084711111111</v>
      </c>
      <c r="L20">
        <v>2.4905270454545454E-2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014B-4ADD-4082-B9FF-648141F6A189}">
  <dimension ref="A1:L20"/>
  <sheetViews>
    <sheetView workbookViewId="0">
      <selection sqref="A1:L20"/>
    </sheetView>
  </sheetViews>
  <sheetFormatPr defaultRowHeight="14.4" x14ac:dyDescent="0.3"/>
  <cols>
    <col min="1" max="1" width="18.21875" customWidth="1"/>
  </cols>
  <sheetData>
    <row r="1" spans="1:12" x14ac:dyDescent="0.3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34</v>
      </c>
      <c r="B2">
        <v>5.3702562360817181</v>
      </c>
      <c r="C2">
        <v>5.2229358213284671</v>
      </c>
      <c r="D2">
        <v>7.742399316661384</v>
      </c>
      <c r="E2">
        <v>7.8059436052134856</v>
      </c>
      <c r="F2">
        <v>3.9765895888726592</v>
      </c>
      <c r="G2">
        <v>5.6784646617919412</v>
      </c>
      <c r="H2">
        <v>8.6168022171191829</v>
      </c>
      <c r="I2">
        <v>6.6001757766445222</v>
      </c>
      <c r="J2">
        <v>4.778901243172772</v>
      </c>
      <c r="K2">
        <v>5.3773939806492654</v>
      </c>
      <c r="L2">
        <v>4.4454970082089051</v>
      </c>
    </row>
    <row r="3" spans="1:12" x14ac:dyDescent="0.3">
      <c r="A3" t="s">
        <v>35</v>
      </c>
      <c r="B3">
        <v>5.0760004252984272</v>
      </c>
      <c r="C3">
        <v>5.799441708184041</v>
      </c>
      <c r="D3">
        <v>7.4345319526593583</v>
      </c>
      <c r="E3">
        <v>7.4980762412114599</v>
      </c>
      <c r="F3">
        <v>3.6687222248706335</v>
      </c>
      <c r="G3">
        <v>5.3906767046682651</v>
      </c>
      <c r="H3">
        <v>8.3089348531171563</v>
      </c>
      <c r="I3">
        <v>6.2523244798943658</v>
      </c>
      <c r="J3">
        <v>4.5950766993280059</v>
      </c>
      <c r="K3">
        <v>5.0695266166472397</v>
      </c>
      <c r="L3">
        <v>5.2960778066317573</v>
      </c>
    </row>
    <row r="4" spans="1:12" x14ac:dyDescent="0.3">
      <c r="A4" t="s">
        <v>17</v>
      </c>
      <c r="B4">
        <v>4.8795228197850609</v>
      </c>
      <c r="C4" t="e">
        <v>#NUM!</v>
      </c>
      <c r="D4">
        <v>7.5136854934036723</v>
      </c>
      <c r="E4">
        <v>7.5772297819557739</v>
      </c>
      <c r="F4">
        <v>3.7478757656149471</v>
      </c>
      <c r="G4">
        <v>5.3345971902981875</v>
      </c>
      <c r="H4">
        <v>8.3880883938614712</v>
      </c>
      <c r="I4">
        <v>6.3314780206386789</v>
      </c>
      <c r="J4">
        <v>4.3149032306986825</v>
      </c>
      <c r="K4">
        <v>5.1486801573915537</v>
      </c>
      <c r="L4" t="e">
        <v>#NUM!</v>
      </c>
    </row>
    <row r="5" spans="1:12" x14ac:dyDescent="0.3">
      <c r="A5" t="s">
        <v>36</v>
      </c>
      <c r="B5">
        <v>4.7045590932680765</v>
      </c>
      <c r="C5">
        <v>3.9157802730304239</v>
      </c>
      <c r="D5">
        <v>7.787773861108624</v>
      </c>
      <c r="E5">
        <v>7.159906728879843</v>
      </c>
      <c r="F5">
        <v>3.3201511939062587</v>
      </c>
      <c r="G5">
        <v>5.207804210717355</v>
      </c>
      <c r="H5">
        <v>7.9603638221527824</v>
      </c>
      <c r="I5">
        <v>5.9141549675627489</v>
      </c>
      <c r="J5">
        <v>4.1760573189110071</v>
      </c>
      <c r="K5">
        <v>4.7313571043156237</v>
      </c>
      <c r="L5">
        <v>3.1383414599108623</v>
      </c>
    </row>
    <row r="6" spans="1:12" x14ac:dyDescent="0.3">
      <c r="A6" t="s">
        <v>22</v>
      </c>
      <c r="B6">
        <v>4.6564615192113576</v>
      </c>
      <c r="C6">
        <v>3.9343294759341538</v>
      </c>
      <c r="D6">
        <v>6.9618662084230323</v>
      </c>
      <c r="E6">
        <v>7.0254104969751339</v>
      </c>
      <c r="F6">
        <v>3.1960564806343079</v>
      </c>
      <c r="G6">
        <v>4.7114673433780405</v>
      </c>
      <c r="H6">
        <v>7.8362691088808312</v>
      </c>
      <c r="I6">
        <v>5.7796587356580398</v>
      </c>
      <c r="J6">
        <v>3.7707429337547476</v>
      </c>
      <c r="K6">
        <v>4.5968608724109146</v>
      </c>
      <c r="L6">
        <v>3.1568906628145919</v>
      </c>
    </row>
    <row r="7" spans="1:12" x14ac:dyDescent="0.3">
      <c r="A7" t="s">
        <v>37</v>
      </c>
      <c r="B7">
        <v>4.7226787073575851</v>
      </c>
      <c r="C7">
        <v>4.6441340550516523</v>
      </c>
      <c r="D7">
        <v>6.9810517673196593</v>
      </c>
      <c r="E7">
        <v>7.2004944988360293</v>
      </c>
      <c r="F7">
        <v>3.0959445404209083</v>
      </c>
      <c r="G7">
        <v>4.8791666937202942</v>
      </c>
      <c r="H7">
        <v>8.0116274472597908</v>
      </c>
      <c r="I7">
        <v>5.9547427375189343</v>
      </c>
      <c r="J7">
        <v>3.6629720055046433</v>
      </c>
      <c r="K7">
        <v>4.7719448742718091</v>
      </c>
      <c r="L7">
        <v>1.8823889492613484</v>
      </c>
    </row>
    <row r="8" spans="1:12" x14ac:dyDescent="0.3">
      <c r="A8" t="s">
        <v>38</v>
      </c>
      <c r="B8">
        <v>4.5790970677383172</v>
      </c>
      <c r="C8">
        <v>5.7405392120883327</v>
      </c>
      <c r="D8">
        <v>7.0483751997169968</v>
      </c>
      <c r="E8">
        <v>7.6009503311649667</v>
      </c>
      <c r="F8">
        <v>3.6670324949358934</v>
      </c>
      <c r="G8">
        <v>5.6364035787930069</v>
      </c>
      <c r="H8">
        <v>8.4213567192311274</v>
      </c>
      <c r="I8">
        <v>6.3551985698478717</v>
      </c>
      <c r="J8">
        <v>4.2116930218627466</v>
      </c>
      <c r="K8">
        <v>5.1724007066007465</v>
      </c>
      <c r="L8">
        <v>3.829108846751418</v>
      </c>
    </row>
    <row r="9" spans="1:12" x14ac:dyDescent="0.3">
      <c r="A9" t="s">
        <v>39</v>
      </c>
      <c r="B9">
        <v>4.9329259892213244</v>
      </c>
      <c r="C9">
        <v>4.3390261469672318</v>
      </c>
      <c r="D9">
        <v>7.6379538428826761</v>
      </c>
      <c r="E9">
        <v>7.4326666125695313</v>
      </c>
      <c r="F9">
        <v>3.4525289118052886</v>
      </c>
      <c r="G9">
        <v>4.6801299903107365</v>
      </c>
      <c r="H9">
        <v>8.2512029706750649</v>
      </c>
      <c r="I9">
        <v>5.6396453274824543</v>
      </c>
      <c r="J9">
        <v>4.4253950323527489</v>
      </c>
      <c r="K9">
        <v>5.0041169880053111</v>
      </c>
      <c r="L9">
        <v>3.5652185456535777</v>
      </c>
    </row>
    <row r="10" spans="1:12" x14ac:dyDescent="0.3">
      <c r="A10" t="s">
        <v>11</v>
      </c>
      <c r="B10">
        <v>5.291612291469586</v>
      </c>
      <c r="C10">
        <v>5.7885552049309625</v>
      </c>
      <c r="D10">
        <v>7.1017420272792737</v>
      </c>
      <c r="E10">
        <v>7.0392237017744668</v>
      </c>
      <c r="F10">
        <v>3.5074532546438122</v>
      </c>
      <c r="G10">
        <v>5.526958214128407</v>
      </c>
      <c r="H10">
        <v>8.7701796950449431</v>
      </c>
      <c r="I10">
        <v>6.6782027086282314</v>
      </c>
      <c r="J10">
        <v>4.9229175210874487</v>
      </c>
      <c r="K10">
        <v>5.4673216874331994</v>
      </c>
      <c r="L10">
        <v>4.9659531492414475</v>
      </c>
    </row>
    <row r="11" spans="1:12" x14ac:dyDescent="0.3">
      <c r="A11" t="s">
        <v>40</v>
      </c>
      <c r="B11">
        <v>5.546363776965519</v>
      </c>
      <c r="C11" t="e">
        <v>#NUM!</v>
      </c>
      <c r="D11">
        <v>7.1150811828640883</v>
      </c>
      <c r="E11">
        <v>7.1786254714161908</v>
      </c>
      <c r="F11">
        <v>3.3492714550753644</v>
      </c>
      <c r="G11">
        <v>4.8570233297823915</v>
      </c>
      <c r="H11">
        <v>8.4607509782623147</v>
      </c>
      <c r="I11">
        <v>5.9328737100990967</v>
      </c>
      <c r="J11">
        <v>3.916298920159099</v>
      </c>
      <c r="K11">
        <v>4.7500758468519706</v>
      </c>
      <c r="L11" t="e">
        <v>#NUM!</v>
      </c>
    </row>
    <row r="12" spans="1:12" x14ac:dyDescent="0.3">
      <c r="A12" t="s">
        <v>41</v>
      </c>
      <c r="B12">
        <v>3.8807344756558706</v>
      </c>
      <c r="C12">
        <v>5.8050819755367344</v>
      </c>
      <c r="D12">
        <v>7.6269534264734355</v>
      </c>
      <c r="E12">
        <v>7.6904977150255371</v>
      </c>
      <c r="F12">
        <v>3.8611436986847107</v>
      </c>
      <c r="G12">
        <v>5.4780301604716382</v>
      </c>
      <c r="H12">
        <v>8.9726232218716611</v>
      </c>
      <c r="I12">
        <v>6.4447459537084431</v>
      </c>
      <c r="J12">
        <v>4.5373057508483461</v>
      </c>
      <c r="K12">
        <v>5.261948090461317</v>
      </c>
      <c r="L12">
        <v>5.0276431624171725</v>
      </c>
    </row>
    <row r="13" spans="1:12" x14ac:dyDescent="0.3">
      <c r="A13" t="s">
        <v>42</v>
      </c>
      <c r="B13">
        <v>5.1854661107121105</v>
      </c>
      <c r="C13">
        <v>5.7600674845940318</v>
      </c>
      <c r="D13">
        <v>7.747975235082067</v>
      </c>
      <c r="E13">
        <v>7.8115195236341695</v>
      </c>
      <c r="F13">
        <v>3.3839092136968536</v>
      </c>
      <c r="G13">
        <v>5.567255360874996</v>
      </c>
      <c r="H13">
        <v>8.6190527510582307</v>
      </c>
      <c r="I13">
        <v>6.5657677623170745</v>
      </c>
      <c r="J13">
        <v>4.626530951251703</v>
      </c>
      <c r="K13">
        <v>5.3829698990699493</v>
      </c>
      <c r="L13">
        <v>4.9826286714744699</v>
      </c>
    </row>
    <row r="14" spans="1:12" x14ac:dyDescent="0.3">
      <c r="A14" t="s">
        <v>43</v>
      </c>
      <c r="B14">
        <v>4.9610672417920965</v>
      </c>
      <c r="C14">
        <v>5.6067642570667795</v>
      </c>
      <c r="D14">
        <v>7.366456700646931</v>
      </c>
      <c r="E14">
        <v>7.4300009891990326</v>
      </c>
      <c r="F14">
        <v>2.9811040311716832</v>
      </c>
      <c r="G14">
        <v>4.8573574588451764</v>
      </c>
      <c r="H14">
        <v>8.2348002595691412</v>
      </c>
      <c r="I14">
        <v>6.1842492278819376</v>
      </c>
      <c r="J14">
        <v>4.5413525279877573</v>
      </c>
      <c r="K14">
        <v>5.0014513646348124</v>
      </c>
      <c r="L14">
        <v>5.7289232839931685</v>
      </c>
    </row>
    <row r="15" spans="1:12" x14ac:dyDescent="0.3">
      <c r="A15" t="s">
        <v>44</v>
      </c>
      <c r="B15">
        <v>3.8958884806172116</v>
      </c>
      <c r="C15">
        <v>5.3189007942062414</v>
      </c>
      <c r="D15">
        <v>6.624902971451605</v>
      </c>
      <c r="E15">
        <v>6.6884472600037075</v>
      </c>
      <c r="F15">
        <v>2.2778959665619225</v>
      </c>
      <c r="G15">
        <v>4.6539830430781945</v>
      </c>
      <c r="H15">
        <v>7.4993058719094039</v>
      </c>
      <c r="I15">
        <v>5.4426954986866125</v>
      </c>
      <c r="J15">
        <v>3.9851684016472162</v>
      </c>
      <c r="K15">
        <v>4.2598976354394873</v>
      </c>
      <c r="L15">
        <v>4.5414619810866803</v>
      </c>
    </row>
    <row r="16" spans="1:12" x14ac:dyDescent="0.3">
      <c r="A16" t="s">
        <v>45</v>
      </c>
      <c r="B16">
        <v>4.448059472476066</v>
      </c>
      <c r="C16">
        <v>4.7010049196653192</v>
      </c>
      <c r="D16">
        <v>7.0824930235934298</v>
      </c>
      <c r="E16">
        <v>7.1460373121455314</v>
      </c>
      <c r="F16">
        <v>3.434235140355804</v>
      </c>
      <c r="G16">
        <v>5.2046841988213002</v>
      </c>
      <c r="H16">
        <v>7.9568959240512278</v>
      </c>
      <c r="I16">
        <v>5.9002855508284364</v>
      </c>
      <c r="J16" t="e">
        <v>#NUM!</v>
      </c>
      <c r="K16">
        <v>4.7174876875813112</v>
      </c>
      <c r="L16">
        <v>3.9235661065457577</v>
      </c>
    </row>
    <row r="17" spans="1:12" x14ac:dyDescent="0.3">
      <c r="A17" t="s">
        <v>46</v>
      </c>
      <c r="B17">
        <v>4.162640685113244</v>
      </c>
      <c r="C17">
        <v>4.1945338739832527</v>
      </c>
      <c r="D17">
        <v>6.1280376585361855</v>
      </c>
      <c r="E17">
        <v>6.4571127623984896</v>
      </c>
      <c r="F17">
        <v>2.2910523396243492</v>
      </c>
      <c r="G17">
        <v>4.1496146843885517</v>
      </c>
      <c r="H17">
        <v>6.9333978714469282</v>
      </c>
      <c r="I17">
        <v>5.2131460724189536</v>
      </c>
      <c r="J17">
        <v>3.7438415073022395</v>
      </c>
      <c r="K17">
        <v>4.0303482091718283</v>
      </c>
      <c r="L17">
        <v>2.7991207256103481</v>
      </c>
    </row>
    <row r="18" spans="1:12" x14ac:dyDescent="0.3">
      <c r="A18" t="s">
        <v>24</v>
      </c>
      <c r="B18">
        <v>4.5674280572325303</v>
      </c>
      <c r="C18">
        <v>4.7937272246596123</v>
      </c>
      <c r="D18">
        <v>6.1152256827762201</v>
      </c>
      <c r="E18">
        <v>6.8520282325398032</v>
      </c>
      <c r="F18">
        <v>2.919791084016492</v>
      </c>
      <c r="G18">
        <v>4.6068181453250494</v>
      </c>
      <c r="H18">
        <v>7.5599454294363966</v>
      </c>
      <c r="I18">
        <v>5.6065063418054866</v>
      </c>
      <c r="J18">
        <v>3.2744478980609677</v>
      </c>
      <c r="K18">
        <v>4.4237084785583614</v>
      </c>
      <c r="L18">
        <v>4.016108616678487</v>
      </c>
    </row>
    <row r="19" spans="1:12" x14ac:dyDescent="0.3">
      <c r="A19" t="s">
        <v>27</v>
      </c>
      <c r="B19">
        <v>4.6269803832747254</v>
      </c>
      <c r="C19">
        <v>3.0918715320861048</v>
      </c>
      <c r="D19">
        <v>7.0368929214606091</v>
      </c>
      <c r="E19">
        <v>7.1004372100127107</v>
      </c>
      <c r="F19">
        <v>2.775951128117228</v>
      </c>
      <c r="G19">
        <v>4.7796262312932241</v>
      </c>
      <c r="H19">
        <v>7.4161637563637512</v>
      </c>
      <c r="I19">
        <v>5.8546854486956166</v>
      </c>
      <c r="J19">
        <v>3.9015526793209578</v>
      </c>
      <c r="K19">
        <v>4.6718875854484914</v>
      </c>
      <c r="L19">
        <v>2.2425724258416633</v>
      </c>
    </row>
    <row r="20" spans="1:12" x14ac:dyDescent="0.3">
      <c r="A20" t="s">
        <v>28</v>
      </c>
      <c r="B20">
        <v>5.2753712857189647</v>
      </c>
      <c r="C20">
        <v>5.6255165108848679</v>
      </c>
      <c r="D20">
        <v>6.970888340677476</v>
      </c>
      <c r="E20">
        <v>7.712993736227463</v>
      </c>
      <c r="F20">
        <v>3.7014250674339855</v>
      </c>
      <c r="G20">
        <v>5.4630532593652914</v>
      </c>
      <c r="H20">
        <v>8.3416376956805092</v>
      </c>
      <c r="I20">
        <v>6.467241974910368</v>
      </c>
      <c r="J20">
        <v>4.6652940367599331</v>
      </c>
      <c r="K20">
        <v>5.2844441116632428</v>
      </c>
      <c r="L20">
        <v>4.8480776977653059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7551-5C3A-419A-A706-13D699F8478B}">
  <dimension ref="A1:L20"/>
  <sheetViews>
    <sheetView workbookViewId="0">
      <selection activeCell="J26" sqref="J26"/>
    </sheetView>
  </sheetViews>
  <sheetFormatPr defaultRowHeight="14.4" x14ac:dyDescent="0.3"/>
  <sheetData>
    <row r="1" spans="1:12" x14ac:dyDescent="0.3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36</v>
      </c>
      <c r="B5">
        <v>0</v>
      </c>
      <c r="C5">
        <v>0</v>
      </c>
      <c r="D5">
        <v>0</v>
      </c>
      <c r="E5">
        <v>0</v>
      </c>
      <c r="F5">
        <v>32.716763005780315</v>
      </c>
      <c r="G5">
        <v>74.61999999999999</v>
      </c>
      <c r="H5">
        <v>0</v>
      </c>
      <c r="I5">
        <v>0</v>
      </c>
      <c r="J5">
        <v>808.56299999999965</v>
      </c>
      <c r="K5">
        <v>204.7490012429283</v>
      </c>
      <c r="L5">
        <v>0</v>
      </c>
    </row>
    <row r="6" spans="1:12" x14ac:dyDescent="0.3">
      <c r="A6" t="s">
        <v>22</v>
      </c>
      <c r="B6">
        <v>58.004358514721019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37</v>
      </c>
      <c r="B7">
        <v>404.56828262142466</v>
      </c>
      <c r="C7">
        <v>0</v>
      </c>
      <c r="D7">
        <v>58.064516129032043</v>
      </c>
      <c r="E7">
        <v>155.48036920051905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38</v>
      </c>
      <c r="B8">
        <v>0</v>
      </c>
      <c r="C8">
        <v>51.400000000000041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39</v>
      </c>
      <c r="B9">
        <v>336.32910521521438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215.25099875707147</v>
      </c>
      <c r="L9">
        <v>0</v>
      </c>
    </row>
    <row r="10" spans="1:12" x14ac:dyDescent="0.3">
      <c r="A10" t="s">
        <v>11</v>
      </c>
      <c r="B10">
        <v>2353.1728175959529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40</v>
      </c>
      <c r="B11">
        <v>365.78963417191432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41</v>
      </c>
      <c r="B12">
        <v>0</v>
      </c>
      <c r="C12">
        <v>0</v>
      </c>
      <c r="D12">
        <v>0</v>
      </c>
      <c r="E12">
        <v>75.397262378427911</v>
      </c>
      <c r="F12">
        <v>0</v>
      </c>
      <c r="G12">
        <v>0</v>
      </c>
      <c r="H12">
        <v>0.32786885245901587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23.250000000000018</v>
      </c>
    </row>
    <row r="14" spans="1:12" x14ac:dyDescent="0.3">
      <c r="A14" t="s">
        <v>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46</v>
      </c>
      <c r="B17">
        <v>88.488204072556712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24</v>
      </c>
      <c r="B18">
        <v>28.383617906865002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27</v>
      </c>
      <c r="B19">
        <v>166.13718612192756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0.88185654008438885</v>
      </c>
      <c r="J19">
        <v>0</v>
      </c>
      <c r="K19">
        <v>0</v>
      </c>
      <c r="L19">
        <v>0</v>
      </c>
    </row>
    <row r="20" spans="1:12" x14ac:dyDescent="0.3">
      <c r="A20" t="s">
        <v>28</v>
      </c>
      <c r="B20">
        <v>171.42248547942373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7153-C981-4940-8B56-9F167067D174}">
  <dimension ref="A1:L20"/>
  <sheetViews>
    <sheetView topLeftCell="A7" workbookViewId="0">
      <selection activeCell="I35" sqref="I35"/>
    </sheetView>
  </sheetViews>
  <sheetFormatPr defaultRowHeight="14.4" x14ac:dyDescent="0.3"/>
  <sheetData>
    <row r="1" spans="1:12" x14ac:dyDescent="0.3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34</v>
      </c>
      <c r="B2">
        <v>5.6728413452808946</v>
      </c>
      <c r="C2" t="e">
        <v>#NUM!</v>
      </c>
      <c r="D2">
        <v>6.2988580819375732</v>
      </c>
      <c r="E2" t="e">
        <v>#NUM!</v>
      </c>
      <c r="F2">
        <v>5.6494201861114401</v>
      </c>
      <c r="G2">
        <v>6.407201538641468</v>
      </c>
      <c r="H2">
        <v>5.0931172663981812</v>
      </c>
      <c r="I2" t="e">
        <v>#NUM!</v>
      </c>
      <c r="J2">
        <v>6.243940733568726</v>
      </c>
      <c r="K2">
        <v>5.7956952719690111</v>
      </c>
      <c r="L2">
        <v>4.2465636036645087</v>
      </c>
    </row>
    <row r="3" spans="1:12" x14ac:dyDescent="0.3">
      <c r="A3" t="s">
        <v>35</v>
      </c>
      <c r="B3">
        <v>5.3785855344976037</v>
      </c>
      <c r="C3" t="e">
        <v>#NUM!</v>
      </c>
      <c r="D3">
        <v>5.9909907179355475</v>
      </c>
      <c r="E3" t="e">
        <v>#NUM!</v>
      </c>
      <c r="F3">
        <v>5.3415528221094153</v>
      </c>
      <c r="G3">
        <v>6.1194135815177919</v>
      </c>
      <c r="H3">
        <v>4.7852499023961563</v>
      </c>
      <c r="I3" t="e">
        <v>#NUM!</v>
      </c>
      <c r="J3">
        <v>6.060116189723959</v>
      </c>
      <c r="K3">
        <v>5.4878279079669854</v>
      </c>
      <c r="L3">
        <v>5.09714440208736</v>
      </c>
    </row>
    <row r="4" spans="1:12" x14ac:dyDescent="0.3">
      <c r="A4" t="s">
        <v>17</v>
      </c>
      <c r="B4">
        <v>5.1821079289842373</v>
      </c>
      <c r="C4" t="e">
        <v>#NUM!</v>
      </c>
      <c r="D4">
        <v>6.0701442586798615</v>
      </c>
      <c r="E4" t="e">
        <v>#NUM!</v>
      </c>
      <c r="F4">
        <v>5.4207063628537284</v>
      </c>
      <c r="G4">
        <v>6.0633340671477143</v>
      </c>
      <c r="H4">
        <v>4.8644034431404695</v>
      </c>
      <c r="I4" t="e">
        <v>#NUM!</v>
      </c>
      <c r="J4">
        <v>5.7799427210946357</v>
      </c>
      <c r="K4">
        <v>5.5669814487112994</v>
      </c>
      <c r="L4" t="e">
        <v>#NUM!</v>
      </c>
    </row>
    <row r="5" spans="1:12" x14ac:dyDescent="0.3">
      <c r="A5" t="s">
        <v>36</v>
      </c>
      <c r="B5">
        <v>5.007144202467253</v>
      </c>
      <c r="C5" t="e">
        <v>#NUM!</v>
      </c>
      <c r="D5">
        <v>6.3442326263848132</v>
      </c>
      <c r="E5" t="e">
        <v>#NUM!</v>
      </c>
      <c r="F5">
        <v>4.9929817911450405</v>
      </c>
      <c r="G5">
        <v>5.9365410875668827</v>
      </c>
      <c r="H5">
        <v>4.4366788714317815</v>
      </c>
      <c r="I5" t="e">
        <v>#NUM!</v>
      </c>
      <c r="J5">
        <v>5.6410968093069611</v>
      </c>
      <c r="K5">
        <v>5.1496583956353685</v>
      </c>
      <c r="L5">
        <v>2.939408055366465</v>
      </c>
    </row>
    <row r="6" spans="1:12" x14ac:dyDescent="0.3">
      <c r="A6" t="s">
        <v>22</v>
      </c>
      <c r="B6">
        <v>4.9590466284105341</v>
      </c>
      <c r="C6" t="e">
        <v>#NUM!</v>
      </c>
      <c r="D6">
        <v>5.5183249736992215</v>
      </c>
      <c r="E6" t="e">
        <v>#NUM!</v>
      </c>
      <c r="F6">
        <v>4.8688870778730893</v>
      </c>
      <c r="G6">
        <v>5.4402042202275673</v>
      </c>
      <c r="H6">
        <v>4.3125841581598303</v>
      </c>
      <c r="I6" t="e">
        <v>#NUM!</v>
      </c>
      <c r="J6">
        <v>5.2357824241507016</v>
      </c>
      <c r="K6">
        <v>5.0151621637306594</v>
      </c>
      <c r="L6">
        <v>2.957957258270195</v>
      </c>
    </row>
    <row r="7" spans="1:12" x14ac:dyDescent="0.3">
      <c r="A7" t="s">
        <v>37</v>
      </c>
      <c r="B7">
        <v>5.0252638165567616</v>
      </c>
      <c r="C7" t="e">
        <v>#NUM!</v>
      </c>
      <c r="D7">
        <v>5.5375105325958476</v>
      </c>
      <c r="E7" t="e">
        <v>#NUM!</v>
      </c>
      <c r="F7">
        <v>4.7687751376596896</v>
      </c>
      <c r="G7">
        <v>5.607903570569821</v>
      </c>
      <c r="H7">
        <v>4.4879424965387891</v>
      </c>
      <c r="I7" t="e">
        <v>#NUM!</v>
      </c>
      <c r="J7">
        <v>5.1280114959005969</v>
      </c>
      <c r="K7">
        <v>5.1902461655915548</v>
      </c>
      <c r="L7">
        <v>1.6834555447169512</v>
      </c>
    </row>
    <row r="8" spans="1:12" x14ac:dyDescent="0.3">
      <c r="A8" t="s">
        <v>38</v>
      </c>
      <c r="B8">
        <v>4.8816821769374936</v>
      </c>
      <c r="C8" t="e">
        <v>#NUM!</v>
      </c>
      <c r="D8">
        <v>5.604833964993186</v>
      </c>
      <c r="E8" t="e">
        <v>#NUM!</v>
      </c>
      <c r="F8">
        <v>5.3398630921746744</v>
      </c>
      <c r="G8">
        <v>6.3651404556425337</v>
      </c>
      <c r="H8">
        <v>4.8976717685101265</v>
      </c>
      <c r="I8" t="e">
        <v>#NUM!</v>
      </c>
      <c r="J8">
        <v>5.6767325122587007</v>
      </c>
      <c r="K8">
        <v>5.5907019979204922</v>
      </c>
      <c r="L8">
        <v>3.6301754422070212</v>
      </c>
    </row>
    <row r="9" spans="1:12" x14ac:dyDescent="0.3">
      <c r="A9" t="s">
        <v>39</v>
      </c>
      <c r="B9">
        <v>5.2355110984205009</v>
      </c>
      <c r="C9" t="e">
        <v>#NUM!</v>
      </c>
      <c r="D9">
        <v>6.1944126081588653</v>
      </c>
      <c r="E9" t="e">
        <v>#NUM!</v>
      </c>
      <c r="F9">
        <v>5.1253595090440704</v>
      </c>
      <c r="G9">
        <v>5.4088668671602633</v>
      </c>
      <c r="H9">
        <v>4.7275180199540641</v>
      </c>
      <c r="I9" t="e">
        <v>#NUM!</v>
      </c>
      <c r="J9">
        <v>5.8904345227487021</v>
      </c>
      <c r="K9">
        <v>5.4224182793250568</v>
      </c>
      <c r="L9">
        <v>3.3662851411091803</v>
      </c>
    </row>
    <row r="10" spans="1:12" x14ac:dyDescent="0.3">
      <c r="A10" t="s">
        <v>11</v>
      </c>
      <c r="B10">
        <v>5.5941974006687625</v>
      </c>
      <c r="C10" t="e">
        <v>#NUM!</v>
      </c>
      <c r="D10">
        <v>5.6582007925554629</v>
      </c>
      <c r="E10" t="e">
        <v>#NUM!</v>
      </c>
      <c r="F10">
        <v>5.180283851882594</v>
      </c>
      <c r="G10">
        <v>6.2556950909779339</v>
      </c>
      <c r="H10">
        <v>5.2464947443239431</v>
      </c>
      <c r="I10" t="e">
        <v>#NUM!</v>
      </c>
      <c r="J10">
        <v>6.3879570114834019</v>
      </c>
      <c r="K10">
        <v>5.885622978752945</v>
      </c>
      <c r="L10">
        <v>4.767019744697051</v>
      </c>
    </row>
    <row r="11" spans="1:12" x14ac:dyDescent="0.3">
      <c r="A11" t="s">
        <v>40</v>
      </c>
      <c r="B11">
        <v>5.8489488861646963</v>
      </c>
      <c r="C11" t="e">
        <v>#NUM!</v>
      </c>
      <c r="D11">
        <v>5.6715399481402775</v>
      </c>
      <c r="E11" t="e">
        <v>#NUM!</v>
      </c>
      <c r="F11">
        <v>5.0221020523141453</v>
      </c>
      <c r="G11">
        <v>5.5857602066319183</v>
      </c>
      <c r="H11">
        <v>4.937066027541313</v>
      </c>
      <c r="I11" t="e">
        <v>#NUM!</v>
      </c>
      <c r="J11">
        <v>5.3813384105550526</v>
      </c>
      <c r="K11">
        <v>5.1683771381717163</v>
      </c>
      <c r="L11" t="e">
        <v>#NUM!</v>
      </c>
    </row>
    <row r="12" spans="1:12" x14ac:dyDescent="0.3">
      <c r="A12" t="s">
        <v>41</v>
      </c>
      <c r="B12">
        <v>4.1833195848550471</v>
      </c>
      <c r="C12" t="e">
        <v>#NUM!</v>
      </c>
      <c r="D12">
        <v>6.1834121917496248</v>
      </c>
      <c r="E12" t="e">
        <v>#NUM!</v>
      </c>
      <c r="F12">
        <v>5.5339742959234925</v>
      </c>
      <c r="G12">
        <v>6.206767037321165</v>
      </c>
      <c r="H12">
        <v>5.4489382711506593</v>
      </c>
      <c r="I12" t="e">
        <v>#NUM!</v>
      </c>
      <c r="J12">
        <v>6.0023452412442992</v>
      </c>
      <c r="K12">
        <v>5.6802493817810626</v>
      </c>
      <c r="L12">
        <v>4.8287097578727751</v>
      </c>
    </row>
    <row r="13" spans="1:12" x14ac:dyDescent="0.3">
      <c r="A13" t="s">
        <v>42</v>
      </c>
      <c r="B13">
        <v>5.488051219911287</v>
      </c>
      <c r="C13" t="e">
        <v>#NUM!</v>
      </c>
      <c r="D13">
        <v>6.3044340003582562</v>
      </c>
      <c r="E13" t="e">
        <v>#NUM!</v>
      </c>
      <c r="F13">
        <v>5.0567398109356345</v>
      </c>
      <c r="G13">
        <v>6.2959922377245228</v>
      </c>
      <c r="H13">
        <v>5.0953678003372289</v>
      </c>
      <c r="I13" t="e">
        <v>#NUM!</v>
      </c>
      <c r="J13">
        <v>6.091570441647657</v>
      </c>
      <c r="K13">
        <v>5.8012711903896941</v>
      </c>
      <c r="L13">
        <v>4.7836952669300725</v>
      </c>
    </row>
    <row r="14" spans="1:12" x14ac:dyDescent="0.3">
      <c r="A14" t="s">
        <v>43</v>
      </c>
      <c r="B14">
        <v>5.2636523509912729</v>
      </c>
      <c r="C14" t="e">
        <v>#NUM!</v>
      </c>
      <c r="D14">
        <v>5.9229154659231193</v>
      </c>
      <c r="E14" t="e">
        <v>#NUM!</v>
      </c>
      <c r="F14">
        <v>4.6539346284104646</v>
      </c>
      <c r="G14">
        <v>5.5860943356947033</v>
      </c>
      <c r="H14">
        <v>4.7111153088481403</v>
      </c>
      <c r="I14" t="e">
        <v>#NUM!</v>
      </c>
      <c r="J14">
        <v>6.0063920183837105</v>
      </c>
      <c r="K14">
        <v>5.4197526559545581</v>
      </c>
      <c r="L14">
        <v>5.5299898794487712</v>
      </c>
    </row>
    <row r="15" spans="1:12" x14ac:dyDescent="0.3">
      <c r="A15" t="s">
        <v>44</v>
      </c>
      <c r="B15">
        <v>4.1984735898163885</v>
      </c>
      <c r="C15" t="e">
        <v>#NUM!</v>
      </c>
      <c r="D15">
        <v>5.1813617367277942</v>
      </c>
      <c r="E15" t="e">
        <v>#NUM!</v>
      </c>
      <c r="F15">
        <v>3.9507265638007043</v>
      </c>
      <c r="G15">
        <v>5.3827199199277223</v>
      </c>
      <c r="H15">
        <v>3.975620921188403</v>
      </c>
      <c r="I15" t="e">
        <v>#NUM!</v>
      </c>
      <c r="J15">
        <v>5.4502078920431698</v>
      </c>
      <c r="K15">
        <v>4.678198926759233</v>
      </c>
      <c r="L15">
        <v>4.342528576542283</v>
      </c>
    </row>
    <row r="16" spans="1:12" x14ac:dyDescent="0.3">
      <c r="A16" t="s">
        <v>45</v>
      </c>
      <c r="B16">
        <v>4.7506445816752425</v>
      </c>
      <c r="C16" t="e">
        <v>#NUM!</v>
      </c>
      <c r="D16">
        <v>5.6389517888696181</v>
      </c>
      <c r="E16" t="e">
        <v>#NUM!</v>
      </c>
      <c r="F16">
        <v>5.1070657375945858</v>
      </c>
      <c r="G16">
        <v>5.933421075670827</v>
      </c>
      <c r="H16">
        <v>4.433210973330227</v>
      </c>
      <c r="I16" t="e">
        <v>#NUM!</v>
      </c>
      <c r="J16" t="e">
        <v>#NUM!</v>
      </c>
      <c r="K16">
        <v>5.1357889789010569</v>
      </c>
      <c r="L16">
        <v>3.7246327020013603</v>
      </c>
    </row>
    <row r="17" spans="1:12" x14ac:dyDescent="0.3">
      <c r="A17" t="s">
        <v>46</v>
      </c>
      <c r="B17">
        <v>4.4652257943124205</v>
      </c>
      <c r="C17" t="e">
        <v>#NUM!</v>
      </c>
      <c r="D17">
        <v>4.6844964238123747</v>
      </c>
      <c r="E17" t="e">
        <v>#NUM!</v>
      </c>
      <c r="F17">
        <v>3.9638829368631305</v>
      </c>
      <c r="G17">
        <v>4.8783515612380786</v>
      </c>
      <c r="H17">
        <v>3.4097129207259269</v>
      </c>
      <c r="I17" t="e">
        <v>#NUM!</v>
      </c>
      <c r="J17">
        <v>5.2088809976981931</v>
      </c>
      <c r="K17">
        <v>4.448649500491574</v>
      </c>
      <c r="L17">
        <v>2.6001873210659512</v>
      </c>
    </row>
    <row r="18" spans="1:12" x14ac:dyDescent="0.3">
      <c r="A18" t="s">
        <v>24</v>
      </c>
      <c r="B18">
        <v>4.8700131664317068</v>
      </c>
      <c r="C18" t="e">
        <v>#NUM!</v>
      </c>
      <c r="D18">
        <v>4.6716844480524093</v>
      </c>
      <c r="E18" t="e">
        <v>#NUM!</v>
      </c>
      <c r="F18">
        <v>4.5926216812552738</v>
      </c>
      <c r="G18">
        <v>5.3355550221745771</v>
      </c>
      <c r="H18">
        <v>4.0362604787153948</v>
      </c>
      <c r="I18" t="e">
        <v>#NUM!</v>
      </c>
      <c r="J18">
        <v>4.7394873884569213</v>
      </c>
      <c r="K18">
        <v>4.8420097698781062</v>
      </c>
      <c r="L18">
        <v>3.8171752121340901</v>
      </c>
    </row>
    <row r="19" spans="1:12" x14ac:dyDescent="0.3">
      <c r="A19" t="s">
        <v>27</v>
      </c>
      <c r="B19">
        <v>4.9295654924739019</v>
      </c>
      <c r="C19" t="e">
        <v>#NUM!</v>
      </c>
      <c r="D19">
        <v>5.5933516867367983</v>
      </c>
      <c r="E19" t="e">
        <v>#NUM!</v>
      </c>
      <c r="F19">
        <v>4.4487817253560094</v>
      </c>
      <c r="G19">
        <v>5.5083631081427509</v>
      </c>
      <c r="H19">
        <v>3.8924788056427504</v>
      </c>
      <c r="I19" t="e">
        <v>#NUM!</v>
      </c>
      <c r="J19">
        <v>5.3665921697169114</v>
      </c>
      <c r="K19">
        <v>5.0901888767682362</v>
      </c>
      <c r="L19">
        <v>2.0436390212972659</v>
      </c>
    </row>
    <row r="20" spans="1:12" x14ac:dyDescent="0.3">
      <c r="A20" t="s">
        <v>28</v>
      </c>
      <c r="B20">
        <v>5.5779563949181412</v>
      </c>
      <c r="C20" t="e">
        <v>#NUM!</v>
      </c>
      <c r="D20">
        <v>5.5273471059536652</v>
      </c>
      <c r="E20" t="e">
        <v>#NUM!</v>
      </c>
      <c r="F20">
        <v>5.3742556646727673</v>
      </c>
      <c r="G20">
        <v>6.1917901362148182</v>
      </c>
      <c r="H20">
        <v>4.8179527449595083</v>
      </c>
      <c r="I20" t="e">
        <v>#NUM!</v>
      </c>
      <c r="J20">
        <v>6.1303335271558872</v>
      </c>
      <c r="K20">
        <v>5.7027454029829885</v>
      </c>
      <c r="L20">
        <v>4.6491442932209086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BBA2-1285-4CCF-A003-C1F61F3273FD}">
  <dimension ref="A1:L20"/>
  <sheetViews>
    <sheetView workbookViewId="0">
      <selection activeCell="F24" sqref="F24"/>
    </sheetView>
  </sheetViews>
  <sheetFormatPr defaultRowHeight="14.4" x14ac:dyDescent="0.3"/>
  <sheetData>
    <row r="1" spans="1:12" x14ac:dyDescent="0.3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36</v>
      </c>
      <c r="B5">
        <v>36.213506470220018</v>
      </c>
      <c r="C5">
        <v>0</v>
      </c>
      <c r="D5">
        <v>0</v>
      </c>
      <c r="E5">
        <v>0</v>
      </c>
      <c r="F5">
        <v>32.716763005780315</v>
      </c>
      <c r="G5">
        <v>74.61999999999999</v>
      </c>
      <c r="H5">
        <v>0</v>
      </c>
      <c r="I5">
        <v>0</v>
      </c>
      <c r="J5">
        <v>808.56299999999965</v>
      </c>
      <c r="K5">
        <v>0</v>
      </c>
      <c r="L5">
        <v>0</v>
      </c>
    </row>
    <row r="6" spans="1:12" x14ac:dyDescent="0.3">
      <c r="A6" t="s">
        <v>22</v>
      </c>
      <c r="B6">
        <v>58.004358514721019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37</v>
      </c>
      <c r="B7">
        <v>186.49357561934033</v>
      </c>
      <c r="C7">
        <v>0</v>
      </c>
      <c r="D7">
        <v>58.064516129032043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419.99999999999972</v>
      </c>
      <c r="L7">
        <v>0</v>
      </c>
    </row>
    <row r="8" spans="1:12" x14ac:dyDescent="0.3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39</v>
      </c>
      <c r="B9">
        <v>516.73963528939191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11</v>
      </c>
      <c r="B10">
        <v>2353.1728175959529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40</v>
      </c>
      <c r="B11">
        <v>365.78963417191432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0.32786885245901587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23.250000000000018</v>
      </c>
    </row>
    <row r="14" spans="1:12" x14ac:dyDescent="0.3">
      <c r="A14" t="s">
        <v>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46</v>
      </c>
      <c r="B17">
        <v>88.488204072556712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24</v>
      </c>
      <c r="B18">
        <v>28.383617906865002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27</v>
      </c>
      <c r="B19">
        <v>167.58785657961442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28</v>
      </c>
      <c r="B20">
        <v>171.42248547942373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CN_yield</vt:lpstr>
      <vt:lpstr>CN_Env_O</vt:lpstr>
      <vt:lpstr>CN_Env_color</vt:lpstr>
      <vt:lpstr>CN_Env_size</vt:lpstr>
      <vt:lpstr>CN_Eco_color</vt:lpstr>
      <vt:lpstr>CN_Eco_size</vt:lpstr>
      <vt:lpstr>US_yield</vt:lpstr>
      <vt:lpstr>US_Eco_color</vt:lpstr>
      <vt:lpstr>US_Eco_size</vt:lpstr>
      <vt:lpstr>US_Env_color</vt:lpstr>
      <vt:lpstr>US_Env_size</vt:lpstr>
      <vt:lpstr>EU_yield</vt:lpstr>
      <vt:lpstr>EU_Eco_color</vt:lpstr>
      <vt:lpstr>EU_Eco_size</vt:lpstr>
      <vt:lpstr>EU_Env_color</vt:lpstr>
      <vt:lpstr>EU_Env_size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2025-08-24T20:18:37Z</dcterms:modified>
</cp:coreProperties>
</file>