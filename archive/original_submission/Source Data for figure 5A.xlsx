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yujun_wei_wur_nl/Documents/Phd thesis/Chapter_2_FL2chemicals/RE_submission_NS/suplementary data/"/>
    </mc:Choice>
  </mc:AlternateContent>
  <xr:revisionPtr revIDLastSave="228" documentId="11_F25DC773A252ABDACC104808C1DB49A65ADE58E9" xr6:coauthVersionLast="47" xr6:coauthVersionMax="47" xr10:uidLastSave="{C31FFF49-859E-4332-AEAC-B77CD8F0BCB7}"/>
  <bookViews>
    <workbookView xWindow="28680" yWindow="-120" windowWidth="29040" windowHeight="15720" activeTab="5" xr2:uid="{00000000-000D-0000-FFFF-FFFF00000000}"/>
  </bookViews>
  <sheets>
    <sheet name="CN_env" sheetId="1" r:id="rId1"/>
    <sheet name="CN_Eco" sheetId="4" r:id="rId2"/>
    <sheet name="US_env" sheetId="2" r:id="rId3"/>
    <sheet name="US_Eco" sheetId="5" r:id="rId4"/>
    <sheet name="EU_Env" sheetId="6" r:id="rId5"/>
    <sheet name="EU_eco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3" l="1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1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3" i="6"/>
  <c r="O15" i="5"/>
  <c r="O14" i="5"/>
  <c r="O13" i="5"/>
  <c r="O12" i="5"/>
  <c r="O11" i="5"/>
  <c r="O10" i="5"/>
  <c r="O9" i="5"/>
  <c r="O8" i="5"/>
  <c r="O7" i="5"/>
  <c r="O6" i="5"/>
  <c r="O5" i="5"/>
  <c r="O4" i="5"/>
  <c r="O3" i="5"/>
  <c r="O4" i="2"/>
  <c r="O5" i="2"/>
  <c r="O6" i="2"/>
  <c r="O7" i="2"/>
  <c r="O8" i="2"/>
  <c r="O9" i="2"/>
  <c r="O10" i="2"/>
  <c r="O11" i="2"/>
  <c r="O12" i="2"/>
  <c r="O13" i="2"/>
  <c r="O14" i="2"/>
  <c r="O15" i="2"/>
  <c r="O3" i="2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" i="1"/>
</calcChain>
</file>

<file path=xl/sharedStrings.xml><?xml version="1.0" encoding="utf-8"?>
<sst xmlns="http://schemas.openxmlformats.org/spreadsheetml/2006/main" count="180" uniqueCount="47">
  <si>
    <t>corn</t>
  </si>
  <si>
    <t>rice grain</t>
  </si>
  <si>
    <t>rice hull</t>
  </si>
  <si>
    <t>rice bran</t>
  </si>
  <si>
    <t>whole wheat</t>
  </si>
  <si>
    <t>wheat bran</t>
  </si>
  <si>
    <t>wheat germ</t>
  </si>
  <si>
    <t>sugarcane</t>
  </si>
  <si>
    <t>sugarcane bagasse</t>
  </si>
  <si>
    <t>sugarcane molasses</t>
  </si>
  <si>
    <t>potato</t>
  </si>
  <si>
    <t>potato pulp</t>
  </si>
  <si>
    <t>tomato</t>
  </si>
  <si>
    <t>tomato pomace</t>
  </si>
  <si>
    <t>sweet potato</t>
  </si>
  <si>
    <t>sweet potato pulp</t>
  </si>
  <si>
    <t>apple</t>
  </si>
  <si>
    <t>apple pomace</t>
  </si>
  <si>
    <t>orange</t>
  </si>
  <si>
    <t>orange peel</t>
  </si>
  <si>
    <t>banana</t>
  </si>
  <si>
    <t>banana peel</t>
  </si>
  <si>
    <t>tomato Pomace</t>
  </si>
  <si>
    <t>sugar beet</t>
  </si>
  <si>
    <t>sugar beet pulp</t>
  </si>
  <si>
    <t>sugar beet molasses</t>
  </si>
  <si>
    <t>whole  wheat</t>
  </si>
  <si>
    <t xml:space="preserve">wheat bran </t>
  </si>
  <si>
    <t xml:space="preserve">sugar beet molasses </t>
  </si>
  <si>
    <t xml:space="preserve">corn germ </t>
  </si>
  <si>
    <t>corn pericarp</t>
  </si>
  <si>
    <t>spent grains</t>
  </si>
  <si>
    <t>rapeseed</t>
  </si>
  <si>
    <t>rapeseed meal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</si>
  <si>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</si>
  <si>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</si>
  <si>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</si>
  <si>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</si>
  <si>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</si>
  <si>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</si>
  <si>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</si>
  <si>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</si>
  <si>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</si>
  <si>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</si>
  <si>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</si>
  <si>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unused</t>
  </si>
  <si>
    <t>barley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</si>
</sst>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" fontId="0" fillId="0" borderId="0" xfId="0" applyNumberFormat="1"/>
    <xf numFmtId="0" fontId="2" fillId="0" borderId="0" xfId="0" applyFont="1" applyBorder="1" applyAlignment="1">
      <alignment horizontal="left" vertical="center"/>
    </xf>
    <xf numFmtId="49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left" vertical="center"/>
    </xf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/>
    <xf numFmtId="1" fontId="0" fillId="0" borderId="0" xfId="0" applyNumberFormat="1" applyFont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zoomScale="90" zoomScaleNormal="90" workbookViewId="0">
      <selection activeCell="I36" sqref="I36"/>
    </sheetView>
  </sheetViews>
  <sheetFormatPr defaultRowHeight="14.4" x14ac:dyDescent="0.3"/>
  <sheetData>
    <row r="1" spans="1:15" x14ac:dyDescent="0.3">
      <c r="B1" s="2"/>
      <c r="C1" s="2"/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7" t="s">
        <v>44</v>
      </c>
      <c r="O1" s="5" t="s">
        <v>45</v>
      </c>
    </row>
    <row r="2" spans="1:15" x14ac:dyDescent="0.3">
      <c r="A2">
        <v>1</v>
      </c>
      <c r="B2" s="2" t="s">
        <v>0</v>
      </c>
      <c r="C2" s="3">
        <v>10144.234150013701</v>
      </c>
      <c r="D2" s="1">
        <v>4664.59547947595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394.256787476667</v>
      </c>
      <c r="M2" s="1">
        <v>2066.77997298734</v>
      </c>
      <c r="N2" s="1">
        <v>0</v>
      </c>
      <c r="O2" s="3">
        <f>C2-SUM(D2:N2)</f>
        <v>3018.6019100737431</v>
      </c>
    </row>
    <row r="3" spans="1:15" x14ac:dyDescent="0.3">
      <c r="A3">
        <v>2</v>
      </c>
      <c r="B3" s="2" t="s">
        <v>1</v>
      </c>
      <c r="C3" s="3">
        <v>15996.665579128799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f t="shared" ref="O3:O23" si="0">C3-SUM(D3:N3)</f>
        <v>15996.665579128799</v>
      </c>
    </row>
    <row r="4" spans="1:15" x14ac:dyDescent="0.3">
      <c r="A4" s="2">
        <v>3</v>
      </c>
      <c r="B4" s="2" t="s">
        <v>2</v>
      </c>
      <c r="C4" s="3">
        <v>38142.441902700302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f t="shared" si="0"/>
        <v>38142.441902700302</v>
      </c>
    </row>
    <row r="5" spans="1:15" x14ac:dyDescent="0.3">
      <c r="A5" s="2">
        <v>4</v>
      </c>
      <c r="B5" s="2" t="s">
        <v>3</v>
      </c>
      <c r="C5" s="3">
        <v>19071.2209513501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>
        <f t="shared" si="0"/>
        <v>19071.2209513501</v>
      </c>
    </row>
    <row r="6" spans="1:15" x14ac:dyDescent="0.3">
      <c r="A6" s="2">
        <v>5</v>
      </c>
      <c r="B6" s="2" t="s">
        <v>4</v>
      </c>
      <c r="C6" s="3">
        <v>8336.8554814713298</v>
      </c>
      <c r="D6" s="2">
        <v>0</v>
      </c>
      <c r="E6" s="2">
        <v>0</v>
      </c>
      <c r="F6" s="2">
        <v>0</v>
      </c>
      <c r="G6" s="2">
        <v>0</v>
      </c>
      <c r="H6" s="2">
        <v>7749.5442360648904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3">
        <f t="shared" si="0"/>
        <v>587.31124540643941</v>
      </c>
    </row>
    <row r="7" spans="1:15" x14ac:dyDescent="0.3">
      <c r="A7" s="2">
        <v>6</v>
      </c>
      <c r="B7" s="2" t="s">
        <v>5</v>
      </c>
      <c r="C7" s="3">
        <v>17385.937076771101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3">
        <f t="shared" si="0"/>
        <v>17385.937076771101</v>
      </c>
    </row>
    <row r="8" spans="1:15" x14ac:dyDescent="0.3">
      <c r="A8" s="2">
        <v>7</v>
      </c>
      <c r="B8" s="2" t="s">
        <v>6</v>
      </c>
      <c r="C8" s="3">
        <v>2634.2328904198598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5.4223732505841298</v>
      </c>
      <c r="K8" s="2">
        <v>0</v>
      </c>
      <c r="L8" s="2">
        <v>0</v>
      </c>
      <c r="M8" s="2">
        <v>0</v>
      </c>
      <c r="N8" s="2">
        <v>0</v>
      </c>
      <c r="O8" s="3">
        <f t="shared" si="0"/>
        <v>2628.8105171692755</v>
      </c>
    </row>
    <row r="9" spans="1:15" x14ac:dyDescent="0.3">
      <c r="A9" s="2">
        <v>8</v>
      </c>
      <c r="B9" s="2" t="s">
        <v>7</v>
      </c>
      <c r="C9" s="3">
        <v>15189.6161458486</v>
      </c>
      <c r="D9" s="2">
        <v>0</v>
      </c>
      <c r="E9" s="2">
        <v>0</v>
      </c>
      <c r="F9" s="2">
        <v>4.5626682483916596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3">
        <f t="shared" si="0"/>
        <v>15185.05347760021</v>
      </c>
    </row>
    <row r="10" spans="1:15" x14ac:dyDescent="0.3">
      <c r="A10" s="2">
        <v>9</v>
      </c>
      <c r="B10" s="2" t="s">
        <v>8</v>
      </c>
      <c r="C10" s="3">
        <v>27000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495.63502063146001</v>
      </c>
      <c r="O10" s="3">
        <f t="shared" si="0"/>
        <v>26504.36497936854</v>
      </c>
    </row>
    <row r="11" spans="1:15" x14ac:dyDescent="0.3">
      <c r="A11" s="2">
        <v>10</v>
      </c>
      <c r="B11" s="2" t="s">
        <v>9</v>
      </c>
      <c r="C11" s="3">
        <v>2333.3333333333298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3">
        <f t="shared" si="0"/>
        <v>2333.3333333333298</v>
      </c>
    </row>
    <row r="12" spans="1:15" x14ac:dyDescent="0.3">
      <c r="A12" s="2">
        <v>11</v>
      </c>
      <c r="B12" s="2" t="s">
        <v>10</v>
      </c>
      <c r="C12" s="3">
        <v>17582.681324205299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1113.66407452774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3">
        <f t="shared" si="0"/>
        <v>16469.017249677559</v>
      </c>
    </row>
    <row r="13" spans="1:15" x14ac:dyDescent="0.3">
      <c r="A13" s="2">
        <v>12</v>
      </c>
      <c r="B13" s="2" t="s">
        <v>11</v>
      </c>
      <c r="C13" s="3">
        <v>385.5</v>
      </c>
      <c r="D13" s="2">
        <v>385.5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3">
        <f t="shared" si="0"/>
        <v>0</v>
      </c>
    </row>
    <row r="14" spans="1:15" x14ac:dyDescent="0.3">
      <c r="A14" s="2">
        <v>13</v>
      </c>
      <c r="B14" s="2" t="s">
        <v>12</v>
      </c>
      <c r="C14" s="3">
        <v>11944.664206825701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f t="shared" si="0"/>
        <v>11944.664206825701</v>
      </c>
    </row>
    <row r="15" spans="1:15" x14ac:dyDescent="0.3">
      <c r="A15" s="2">
        <v>14</v>
      </c>
      <c r="B15" s="2" t="s">
        <v>13</v>
      </c>
      <c r="C15" s="3">
        <v>351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3">
        <f t="shared" si="0"/>
        <v>351</v>
      </c>
    </row>
    <row r="16" spans="1:15" x14ac:dyDescent="0.3">
      <c r="A16" s="2">
        <v>15</v>
      </c>
      <c r="B16" s="2" t="s">
        <v>14</v>
      </c>
      <c r="C16" s="3">
        <v>9236.6888256886996</v>
      </c>
      <c r="D16" s="2">
        <v>9236.6888256887105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>
        <f t="shared" si="0"/>
        <v>0</v>
      </c>
    </row>
    <row r="17" spans="1:15" x14ac:dyDescent="0.3">
      <c r="A17" s="2">
        <v>16</v>
      </c>
      <c r="B17" s="2" t="s">
        <v>15</v>
      </c>
      <c r="C17" s="3">
        <v>180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>
        <f t="shared" si="0"/>
        <v>180</v>
      </c>
    </row>
    <row r="18" spans="1:15" x14ac:dyDescent="0.3">
      <c r="A18" s="2">
        <v>17</v>
      </c>
      <c r="B18" s="2" t="s">
        <v>16</v>
      </c>
      <c r="C18" s="3">
        <v>3808.22792120846</v>
      </c>
      <c r="D18" s="2">
        <v>3808.22792120847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>
        <f t="shared" si="0"/>
        <v>-1.0004441719502211E-11</v>
      </c>
    </row>
    <row r="19" spans="1:15" x14ac:dyDescent="0.3">
      <c r="A19" s="2">
        <v>18</v>
      </c>
      <c r="B19" s="2" t="s">
        <v>17</v>
      </c>
      <c r="C19" s="3">
        <v>947.10549836999905</v>
      </c>
      <c r="D19" s="2">
        <v>947.10549836999996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>
        <f t="shared" si="0"/>
        <v>-9.0949470177292824E-13</v>
      </c>
    </row>
    <row r="20" spans="1:15" x14ac:dyDescent="0.3">
      <c r="A20" s="2">
        <v>19</v>
      </c>
      <c r="B20" s="2" t="s">
        <v>18</v>
      </c>
      <c r="C20" s="3">
        <v>1671.1685486993899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3">
        <f t="shared" si="0"/>
        <v>1671.1685486993899</v>
      </c>
    </row>
    <row r="21" spans="1:15" x14ac:dyDescent="0.3">
      <c r="A21" s="2">
        <v>20</v>
      </c>
      <c r="B21" s="2" t="s">
        <v>19</v>
      </c>
      <c r="C21" s="3">
        <v>490.65095234232001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>
        <f t="shared" si="0"/>
        <v>490.65095234232001</v>
      </c>
    </row>
    <row r="22" spans="1:15" x14ac:dyDescent="0.3">
      <c r="A22" s="2">
        <v>21</v>
      </c>
      <c r="B22" s="2" t="s">
        <v>20</v>
      </c>
      <c r="C22" s="3">
        <v>900.90877923238497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3">
        <f t="shared" si="0"/>
        <v>900.90877923238497</v>
      </c>
    </row>
    <row r="23" spans="1:15" x14ac:dyDescent="0.3">
      <c r="A23" s="2">
        <v>22</v>
      </c>
      <c r="B23" s="2" t="s">
        <v>21</v>
      </c>
      <c r="C23" s="3">
        <v>510.29876477879901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3">
        <f t="shared" si="0"/>
        <v>510.29876477879901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D758-65DA-4280-B527-2ADD8D97335F}">
  <dimension ref="A1:O24"/>
  <sheetViews>
    <sheetView zoomScale="90" zoomScaleNormal="90" workbookViewId="0">
      <selection sqref="A1:XFD24"/>
    </sheetView>
  </sheetViews>
  <sheetFormatPr defaultRowHeight="14.4" x14ac:dyDescent="0.3"/>
  <sheetData>
    <row r="1" spans="1:15" x14ac:dyDescent="0.3">
      <c r="D1" s="6">
        <v>1</v>
      </c>
      <c r="E1">
        <v>2</v>
      </c>
      <c r="F1" s="6">
        <v>3</v>
      </c>
      <c r="G1" s="2">
        <v>4</v>
      </c>
      <c r="H1" s="6">
        <v>5</v>
      </c>
      <c r="I1" s="2">
        <v>6</v>
      </c>
      <c r="J1" s="6">
        <v>7</v>
      </c>
      <c r="K1" s="2">
        <v>8</v>
      </c>
      <c r="L1" s="6">
        <v>9</v>
      </c>
      <c r="M1" s="2">
        <v>10</v>
      </c>
      <c r="N1" s="6">
        <v>11</v>
      </c>
    </row>
    <row r="2" spans="1:15" x14ac:dyDescent="0.3">
      <c r="A2" s="2"/>
      <c r="B2" s="2"/>
      <c r="C2" s="2"/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7" t="s">
        <v>44</v>
      </c>
      <c r="O2" s="5" t="s">
        <v>45</v>
      </c>
    </row>
    <row r="3" spans="1:15" x14ac:dyDescent="0.3">
      <c r="A3" s="2">
        <v>1</v>
      </c>
      <c r="B3" s="2" t="s">
        <v>0</v>
      </c>
      <c r="C3" s="3">
        <v>10144.234150013701</v>
      </c>
      <c r="D3" s="1">
        <v>8077.4541770264204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2066.77997298734</v>
      </c>
      <c r="N3" s="1">
        <v>0</v>
      </c>
      <c r="O3" s="3">
        <f>C3-SUM(D3:N3)</f>
        <v>-6.0026650317013264E-11</v>
      </c>
    </row>
    <row r="4" spans="1:15" x14ac:dyDescent="0.3">
      <c r="A4" s="2">
        <v>2</v>
      </c>
      <c r="B4" s="2" t="s">
        <v>1</v>
      </c>
      <c r="C4" s="3">
        <v>15996.665579128799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f t="shared" ref="O4:O24" si="0">C4-SUM(D4:N4)</f>
        <v>15996.665579128799</v>
      </c>
    </row>
    <row r="5" spans="1:15" x14ac:dyDescent="0.3">
      <c r="A5" s="2">
        <v>3</v>
      </c>
      <c r="B5" s="2" t="s">
        <v>2</v>
      </c>
      <c r="C5" s="3">
        <v>38142.441902700302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>
        <f t="shared" si="0"/>
        <v>38142.441902700302</v>
      </c>
    </row>
    <row r="6" spans="1:15" x14ac:dyDescent="0.3">
      <c r="A6" s="2">
        <v>4</v>
      </c>
      <c r="B6" s="2" t="s">
        <v>3</v>
      </c>
      <c r="C6" s="3">
        <v>19071.2209513501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3">
        <f t="shared" si="0"/>
        <v>19071.2209513501</v>
      </c>
    </row>
    <row r="7" spans="1:15" x14ac:dyDescent="0.3">
      <c r="A7" s="2">
        <v>5</v>
      </c>
      <c r="B7" s="2" t="s">
        <v>4</v>
      </c>
      <c r="C7" s="3">
        <v>8336.8554814713298</v>
      </c>
      <c r="D7" s="2">
        <v>0</v>
      </c>
      <c r="E7" s="2">
        <v>0</v>
      </c>
      <c r="F7" s="2">
        <v>0</v>
      </c>
      <c r="G7" s="2">
        <v>0</v>
      </c>
      <c r="H7" s="2">
        <v>7749.5442360648904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3">
        <f t="shared" si="0"/>
        <v>587.31124540643941</v>
      </c>
    </row>
    <row r="8" spans="1:15" x14ac:dyDescent="0.3">
      <c r="A8" s="2">
        <v>6</v>
      </c>
      <c r="B8" s="2" t="s">
        <v>5</v>
      </c>
      <c r="C8" s="3">
        <v>17385.937076771101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3">
        <f t="shared" si="0"/>
        <v>17385.937076771101</v>
      </c>
    </row>
    <row r="9" spans="1:15" x14ac:dyDescent="0.3">
      <c r="A9" s="2">
        <v>7</v>
      </c>
      <c r="B9" s="2" t="s">
        <v>6</v>
      </c>
      <c r="C9" s="3">
        <v>2634.2328904198598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5.4223732505841298</v>
      </c>
      <c r="K9" s="2">
        <v>0</v>
      </c>
      <c r="L9" s="2">
        <v>0</v>
      </c>
      <c r="M9" s="2">
        <v>0</v>
      </c>
      <c r="N9" s="2">
        <v>0</v>
      </c>
      <c r="O9" s="3">
        <f t="shared" si="0"/>
        <v>2628.8105171692755</v>
      </c>
    </row>
    <row r="10" spans="1:15" x14ac:dyDescent="0.3">
      <c r="A10" s="2">
        <v>8</v>
      </c>
      <c r="B10" s="2" t="s">
        <v>7</v>
      </c>
      <c r="C10" s="3">
        <v>15189.6161458486</v>
      </c>
      <c r="D10" s="8">
        <v>0</v>
      </c>
      <c r="E10" s="8">
        <v>8127.2545090180402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3">
        <f t="shared" si="0"/>
        <v>7062.3616368305602</v>
      </c>
    </row>
    <row r="11" spans="1:15" x14ac:dyDescent="0.3">
      <c r="A11" s="2">
        <v>9</v>
      </c>
      <c r="B11" s="2" t="s">
        <v>8</v>
      </c>
      <c r="C11" s="3">
        <v>27000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495.63502063146001</v>
      </c>
      <c r="O11" s="3">
        <f t="shared" si="0"/>
        <v>26504.36497936854</v>
      </c>
    </row>
    <row r="12" spans="1:15" x14ac:dyDescent="0.3">
      <c r="A12" s="2">
        <v>10</v>
      </c>
      <c r="B12" s="2" t="s">
        <v>9</v>
      </c>
      <c r="C12" s="3">
        <v>2333.3333333333298</v>
      </c>
      <c r="D12" s="8">
        <v>0</v>
      </c>
      <c r="E12" s="8">
        <v>0</v>
      </c>
      <c r="F12" s="8">
        <v>17.805073699615701</v>
      </c>
      <c r="G12" s="8">
        <v>347.78670534032898</v>
      </c>
      <c r="H12" s="8">
        <v>0</v>
      </c>
      <c r="I12" s="8">
        <v>337.00978855405498</v>
      </c>
      <c r="J12" s="8">
        <v>0</v>
      </c>
      <c r="K12" s="8">
        <v>5.05271428517465</v>
      </c>
      <c r="L12" s="8">
        <v>0</v>
      </c>
      <c r="M12" s="8">
        <v>0</v>
      </c>
      <c r="N12" s="8">
        <v>0</v>
      </c>
      <c r="O12" s="3">
        <f t="shared" si="0"/>
        <v>1625.6790514541556</v>
      </c>
    </row>
    <row r="13" spans="1:15" x14ac:dyDescent="0.3">
      <c r="A13" s="2">
        <v>11</v>
      </c>
      <c r="B13" s="2" t="s">
        <v>10</v>
      </c>
      <c r="C13" s="3">
        <v>17582.681324205299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2201.0980092447398</v>
      </c>
      <c r="M13" s="8">
        <v>0</v>
      </c>
      <c r="N13" s="8">
        <v>0</v>
      </c>
      <c r="O13" s="3">
        <f t="shared" si="0"/>
        <v>15381.583314960561</v>
      </c>
    </row>
    <row r="14" spans="1:15" x14ac:dyDescent="0.3">
      <c r="A14" s="2">
        <v>12</v>
      </c>
      <c r="B14" s="2" t="s">
        <v>11</v>
      </c>
      <c r="C14" s="3">
        <v>385.5</v>
      </c>
      <c r="D14" s="2">
        <v>385.5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f t="shared" si="0"/>
        <v>0</v>
      </c>
    </row>
    <row r="15" spans="1:15" x14ac:dyDescent="0.3">
      <c r="A15" s="2">
        <v>13</v>
      </c>
      <c r="B15" s="2" t="s">
        <v>12</v>
      </c>
      <c r="C15" s="3">
        <v>11944.664206825701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3">
        <f t="shared" si="0"/>
        <v>11944.664206825701</v>
      </c>
    </row>
    <row r="16" spans="1:15" x14ac:dyDescent="0.3">
      <c r="A16" s="2">
        <v>14</v>
      </c>
      <c r="B16" s="2" t="s">
        <v>13</v>
      </c>
      <c r="C16" s="3">
        <v>351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>
        <f t="shared" si="0"/>
        <v>351</v>
      </c>
    </row>
    <row r="17" spans="1:15" x14ac:dyDescent="0.3">
      <c r="A17" s="2">
        <v>15</v>
      </c>
      <c r="B17" s="2" t="s">
        <v>14</v>
      </c>
      <c r="C17" s="3">
        <v>9236.6888256886996</v>
      </c>
      <c r="D17" s="2">
        <v>2566.1978633681101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>
        <f t="shared" si="0"/>
        <v>6670.4909623205895</v>
      </c>
    </row>
    <row r="18" spans="1:15" x14ac:dyDescent="0.3">
      <c r="A18" s="2">
        <v>16</v>
      </c>
      <c r="B18" s="2" t="s">
        <v>15</v>
      </c>
      <c r="C18" s="3">
        <v>180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>
        <f t="shared" si="0"/>
        <v>180</v>
      </c>
    </row>
    <row r="19" spans="1:15" x14ac:dyDescent="0.3">
      <c r="A19" s="2">
        <v>17</v>
      </c>
      <c r="B19" s="2" t="s">
        <v>16</v>
      </c>
      <c r="C19" s="3">
        <v>3808.22792120846</v>
      </c>
      <c r="D19" s="2">
        <v>3808.22792120847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>
        <f t="shared" si="0"/>
        <v>-1.0004441719502211E-11</v>
      </c>
    </row>
    <row r="20" spans="1:15" x14ac:dyDescent="0.3">
      <c r="A20" s="2">
        <v>18</v>
      </c>
      <c r="B20" s="2" t="s">
        <v>17</v>
      </c>
      <c r="C20" s="3">
        <v>947.10549836999905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3">
        <f t="shared" si="0"/>
        <v>947.10549836999905</v>
      </c>
    </row>
    <row r="21" spans="1:15" x14ac:dyDescent="0.3">
      <c r="A21" s="2">
        <v>19</v>
      </c>
      <c r="B21" s="2" t="s">
        <v>18</v>
      </c>
      <c r="C21" s="3">
        <v>1671.1685486993899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>
        <f t="shared" si="0"/>
        <v>1671.1685486993899</v>
      </c>
    </row>
    <row r="22" spans="1:15" x14ac:dyDescent="0.3">
      <c r="A22" s="2">
        <v>20</v>
      </c>
      <c r="B22" s="2" t="s">
        <v>19</v>
      </c>
      <c r="C22" s="3">
        <v>490.65095234232001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3">
        <f t="shared" si="0"/>
        <v>490.65095234232001</v>
      </c>
    </row>
    <row r="23" spans="1:15" x14ac:dyDescent="0.3">
      <c r="A23" s="2">
        <v>21</v>
      </c>
      <c r="B23" s="2" t="s">
        <v>20</v>
      </c>
      <c r="C23" s="3">
        <v>900.90877923238497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3">
        <f t="shared" si="0"/>
        <v>900.90877923238497</v>
      </c>
    </row>
    <row r="24" spans="1:15" x14ac:dyDescent="0.3">
      <c r="A24" s="2">
        <v>22</v>
      </c>
      <c r="B24" s="2" t="s">
        <v>21</v>
      </c>
      <c r="C24" s="3">
        <v>510.29876477879901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3">
        <f t="shared" si="0"/>
        <v>510.29876477879901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71B1-448D-498F-9E74-F8DC1FDB4EAF}">
  <dimension ref="A1:O15"/>
  <sheetViews>
    <sheetView zoomScale="70" zoomScaleNormal="70" workbookViewId="0">
      <selection activeCell="H12" sqref="H12"/>
    </sheetView>
  </sheetViews>
  <sheetFormatPr defaultRowHeight="14.4" x14ac:dyDescent="0.3"/>
  <sheetData>
    <row r="1" spans="1:15" x14ac:dyDescent="0.3">
      <c r="A1" s="6"/>
      <c r="B1" s="6"/>
      <c r="C1" s="6"/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/>
    </row>
    <row r="2" spans="1:15" ht="15" thickBot="1" x14ac:dyDescent="0.35">
      <c r="A2" s="6"/>
      <c r="B2" s="6"/>
      <c r="C2" s="6"/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10" t="s">
        <v>44</v>
      </c>
      <c r="O2" s="11" t="s">
        <v>45</v>
      </c>
    </row>
    <row r="3" spans="1:15" x14ac:dyDescent="0.3">
      <c r="A3" s="6">
        <v>1</v>
      </c>
      <c r="B3" s="6" t="s">
        <v>0</v>
      </c>
      <c r="C3" s="6">
        <v>19495.042105263099</v>
      </c>
      <c r="D3" s="6">
        <v>19495.042105263201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f>C3-SUM(D3:N3)</f>
        <v>-1.0186340659856796E-10</v>
      </c>
    </row>
    <row r="4" spans="1:15" x14ac:dyDescent="0.3">
      <c r="A4" s="6">
        <v>2</v>
      </c>
      <c r="B4" s="6" t="s">
        <v>4</v>
      </c>
      <c r="C4" s="6">
        <v>1653.87804081632</v>
      </c>
      <c r="D4" s="6">
        <v>1653.87804081632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f t="shared" ref="O4:O15" si="0">C4-SUM(D4:N4)</f>
        <v>0</v>
      </c>
    </row>
    <row r="5" spans="1:15" x14ac:dyDescent="0.3">
      <c r="A5" s="6">
        <v>3</v>
      </c>
      <c r="B5" s="6" t="s">
        <v>5</v>
      </c>
      <c r="C5" s="6">
        <v>4647.0639600000004</v>
      </c>
      <c r="D5" s="6">
        <v>4647.0639600000004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f t="shared" si="0"/>
        <v>0</v>
      </c>
    </row>
    <row r="6" spans="1:15" x14ac:dyDescent="0.3">
      <c r="A6" s="6">
        <v>4</v>
      </c>
      <c r="B6" s="6" t="s">
        <v>6</v>
      </c>
      <c r="C6" s="6">
        <v>704.10059999999999</v>
      </c>
      <c r="D6" s="6">
        <v>704.10059999999999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f t="shared" si="0"/>
        <v>0</v>
      </c>
    </row>
    <row r="7" spans="1:15" x14ac:dyDescent="0.3">
      <c r="A7" s="6">
        <v>5</v>
      </c>
      <c r="B7" s="6" t="s">
        <v>10</v>
      </c>
      <c r="C7" s="6">
        <v>6931.6798266474898</v>
      </c>
      <c r="D7" s="6">
        <v>6931.6798266474898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f t="shared" si="0"/>
        <v>0</v>
      </c>
    </row>
    <row r="8" spans="1:15" x14ac:dyDescent="0.3">
      <c r="A8" s="6">
        <v>6</v>
      </c>
      <c r="B8" s="6" t="s">
        <v>12</v>
      </c>
      <c r="C8" s="6">
        <v>3557.79</v>
      </c>
      <c r="D8" s="6">
        <v>3557.79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f t="shared" si="0"/>
        <v>0</v>
      </c>
    </row>
    <row r="9" spans="1:15" x14ac:dyDescent="0.3">
      <c r="A9" s="6">
        <v>7</v>
      </c>
      <c r="B9" s="6" t="s">
        <v>22</v>
      </c>
      <c r="C9" s="6">
        <v>176.22720000000001</v>
      </c>
      <c r="D9" s="6">
        <v>176.22720000000001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f t="shared" si="0"/>
        <v>0</v>
      </c>
    </row>
    <row r="10" spans="1:15" x14ac:dyDescent="0.3">
      <c r="A10" s="6">
        <v>8</v>
      </c>
      <c r="B10" s="6" t="s">
        <v>7</v>
      </c>
      <c r="C10" s="6">
        <v>1730.50676288659</v>
      </c>
      <c r="D10" s="6">
        <v>1725.9440946382099</v>
      </c>
      <c r="E10" s="6">
        <v>0</v>
      </c>
      <c r="F10" s="6">
        <v>4.5626682483916596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f t="shared" si="0"/>
        <v>-1.1596057447604835E-11</v>
      </c>
    </row>
    <row r="11" spans="1:15" x14ac:dyDescent="0.3">
      <c r="A11" s="6">
        <v>9</v>
      </c>
      <c r="B11" s="6" t="s">
        <v>8</v>
      </c>
      <c r="C11" s="6">
        <v>9174.0427199999904</v>
      </c>
      <c r="D11" s="6">
        <v>9174.0427199999904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f t="shared" si="0"/>
        <v>0</v>
      </c>
    </row>
    <row r="12" spans="1:15" x14ac:dyDescent="0.3">
      <c r="A12" s="6">
        <v>10</v>
      </c>
      <c r="B12" s="6" t="s">
        <v>9</v>
      </c>
      <c r="C12" s="6">
        <v>792.81850666666605</v>
      </c>
      <c r="D12" s="6">
        <v>666.25815513941996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126.56035152724699</v>
      </c>
      <c r="M12" s="6">
        <v>0</v>
      </c>
      <c r="N12" s="6">
        <v>0</v>
      </c>
      <c r="O12" s="6">
        <f t="shared" si="0"/>
        <v>-9.0949470177292824E-13</v>
      </c>
    </row>
    <row r="13" spans="1:15" x14ac:dyDescent="0.3">
      <c r="A13" s="6">
        <v>11</v>
      </c>
      <c r="B13" s="6" t="s">
        <v>23</v>
      </c>
      <c r="C13" s="6">
        <v>1850.4624123711301</v>
      </c>
      <c r="D13" s="6">
        <v>1850.4624123711301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f t="shared" si="0"/>
        <v>0</v>
      </c>
    </row>
    <row r="14" spans="1:15" x14ac:dyDescent="0.3">
      <c r="A14" s="6">
        <v>12</v>
      </c>
      <c r="B14" s="6" t="s">
        <v>24</v>
      </c>
      <c r="C14" s="6">
        <v>14197.7</v>
      </c>
      <c r="D14" s="6">
        <v>2139.2162771755102</v>
      </c>
      <c r="E14" s="6">
        <v>0</v>
      </c>
      <c r="F14" s="6">
        <v>0</v>
      </c>
      <c r="G14" s="6">
        <v>0</v>
      </c>
      <c r="H14" s="6">
        <v>9594.7684570704405</v>
      </c>
      <c r="I14" s="6">
        <v>188.018024096685</v>
      </c>
      <c r="J14" s="6">
        <v>7.1680527676967296</v>
      </c>
      <c r="K14" s="6">
        <v>0</v>
      </c>
      <c r="L14" s="6">
        <v>0</v>
      </c>
      <c r="M14" s="6">
        <v>2268.52918888967</v>
      </c>
      <c r="N14" s="6">
        <v>0</v>
      </c>
      <c r="O14" s="6">
        <f t="shared" si="0"/>
        <v>0</v>
      </c>
    </row>
    <row r="15" spans="1:15" x14ac:dyDescent="0.3">
      <c r="A15" s="6">
        <v>13</v>
      </c>
      <c r="B15" s="6" t="s">
        <v>25</v>
      </c>
      <c r="C15" s="6">
        <v>1079.0252</v>
      </c>
      <c r="D15" s="6">
        <v>1079.0252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2453-53B0-4CC4-B466-EAA9BF7F7925}">
  <dimension ref="A1:O15"/>
  <sheetViews>
    <sheetView zoomScale="80" zoomScaleNormal="80" workbookViewId="0">
      <selection activeCell="P28" sqref="P28"/>
    </sheetView>
  </sheetViews>
  <sheetFormatPr defaultRowHeight="14.4" x14ac:dyDescent="0.3"/>
  <sheetData>
    <row r="1" spans="1:15" x14ac:dyDescent="0.3">
      <c r="A1" s="6"/>
      <c r="B1" s="6"/>
      <c r="C1" s="6"/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/>
    </row>
    <row r="2" spans="1:15" ht="15" thickBot="1" x14ac:dyDescent="0.35">
      <c r="A2" s="6"/>
      <c r="B2" s="6"/>
      <c r="C2" s="6"/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10" t="s">
        <v>44</v>
      </c>
      <c r="O2" s="11" t="s">
        <v>45</v>
      </c>
    </row>
    <row r="3" spans="1:15" x14ac:dyDescent="0.3">
      <c r="A3" s="6">
        <v>1</v>
      </c>
      <c r="B3" s="6" t="s">
        <v>0</v>
      </c>
      <c r="C3" s="6">
        <v>19495.042105263099</v>
      </c>
      <c r="D3" s="6">
        <v>19495.042105263201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f>C3-SUM(D3:N3)</f>
        <v>-1.0186340659856796E-10</v>
      </c>
    </row>
    <row r="4" spans="1:15" x14ac:dyDescent="0.3">
      <c r="A4" s="6">
        <v>2</v>
      </c>
      <c r="B4" s="6" t="s">
        <v>4</v>
      </c>
      <c r="C4" s="6">
        <v>1653.87804081632</v>
      </c>
      <c r="D4" s="6">
        <v>1653.87804081632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f t="shared" ref="O4:O15" si="0">C4-SUM(D4:N4)</f>
        <v>0</v>
      </c>
    </row>
    <row r="5" spans="1:15" x14ac:dyDescent="0.3">
      <c r="A5" s="6">
        <v>3</v>
      </c>
      <c r="B5" s="6" t="s">
        <v>5</v>
      </c>
      <c r="C5" s="6">
        <v>4647.0639600000004</v>
      </c>
      <c r="D5" s="6">
        <v>4065.6278462304399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581.43611376956403</v>
      </c>
      <c r="O5" s="6">
        <f t="shared" si="0"/>
        <v>0</v>
      </c>
    </row>
    <row r="6" spans="1:15" x14ac:dyDescent="0.3">
      <c r="A6" s="6">
        <v>4</v>
      </c>
      <c r="B6" s="6" t="s">
        <v>6</v>
      </c>
      <c r="C6" s="6">
        <v>704.10059999999999</v>
      </c>
      <c r="D6" s="6">
        <v>704.10059999999999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f t="shared" si="0"/>
        <v>0</v>
      </c>
    </row>
    <row r="7" spans="1:15" x14ac:dyDescent="0.3">
      <c r="A7" s="6">
        <v>5</v>
      </c>
      <c r="B7" s="6" t="s">
        <v>10</v>
      </c>
      <c r="C7" s="6">
        <v>6931.6798266474898</v>
      </c>
      <c r="D7" s="6">
        <v>6931.6798266474898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f t="shared" si="0"/>
        <v>0</v>
      </c>
    </row>
    <row r="8" spans="1:15" x14ac:dyDescent="0.3">
      <c r="A8" s="6">
        <v>6</v>
      </c>
      <c r="B8" s="6" t="s">
        <v>12</v>
      </c>
      <c r="C8" s="6">
        <v>3557.79</v>
      </c>
      <c r="D8" s="6">
        <v>3557.79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f t="shared" si="0"/>
        <v>0</v>
      </c>
    </row>
    <row r="9" spans="1:15" x14ac:dyDescent="0.3">
      <c r="A9" s="6">
        <v>7</v>
      </c>
      <c r="B9" s="6" t="s">
        <v>22</v>
      </c>
      <c r="C9" s="6">
        <v>176.22720000000001</v>
      </c>
      <c r="D9" s="6">
        <v>176.22720000000001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f t="shared" si="0"/>
        <v>0</v>
      </c>
    </row>
    <row r="10" spans="1:15" x14ac:dyDescent="0.3">
      <c r="A10" s="6">
        <v>8</v>
      </c>
      <c r="B10" s="6" t="s">
        <v>7</v>
      </c>
      <c r="C10" s="6">
        <v>1730.50676288659</v>
      </c>
      <c r="D10" s="6">
        <v>1725.9440946382099</v>
      </c>
      <c r="E10" s="6">
        <v>0</v>
      </c>
      <c r="F10" s="6">
        <v>4.5626682483916596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f t="shared" si="0"/>
        <v>-1.1596057447604835E-11</v>
      </c>
    </row>
    <row r="11" spans="1:15" x14ac:dyDescent="0.3">
      <c r="A11" s="6">
        <v>9</v>
      </c>
      <c r="B11" s="6" t="s">
        <v>8</v>
      </c>
      <c r="C11" s="6">
        <v>9174.0427199999904</v>
      </c>
      <c r="D11" s="6">
        <v>9174.0427199999904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f t="shared" si="0"/>
        <v>0</v>
      </c>
    </row>
    <row r="12" spans="1:15" x14ac:dyDescent="0.3">
      <c r="A12" s="6">
        <v>10</v>
      </c>
      <c r="B12" s="6" t="s">
        <v>9</v>
      </c>
      <c r="C12" s="6">
        <v>792.81850666666605</v>
      </c>
      <c r="D12" s="6">
        <v>660.86093760752897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5.3972175318911004</v>
      </c>
      <c r="L12" s="6">
        <v>126.56035152724699</v>
      </c>
      <c r="M12" s="6">
        <v>0</v>
      </c>
      <c r="N12" s="6">
        <v>0</v>
      </c>
      <c r="O12" s="6">
        <f t="shared" si="0"/>
        <v>-1.0231815394945443E-12</v>
      </c>
    </row>
    <row r="13" spans="1:15" x14ac:dyDescent="0.3">
      <c r="A13" s="6">
        <v>11</v>
      </c>
      <c r="B13" s="6" t="s">
        <v>23</v>
      </c>
      <c r="C13" s="6">
        <v>1850.4624123711301</v>
      </c>
      <c r="D13" s="6">
        <v>1850.4624123711301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f t="shared" si="0"/>
        <v>0</v>
      </c>
    </row>
    <row r="14" spans="1:15" x14ac:dyDescent="0.3">
      <c r="A14" s="6">
        <v>12</v>
      </c>
      <c r="B14" s="6" t="s">
        <v>24</v>
      </c>
      <c r="C14" s="6">
        <v>14197.7</v>
      </c>
      <c r="D14" s="6">
        <v>10490.1685781296</v>
      </c>
      <c r="E14" s="6">
        <v>457.02521873391697</v>
      </c>
      <c r="F14" s="6">
        <v>0</v>
      </c>
      <c r="G14" s="6">
        <v>786.79093738243898</v>
      </c>
      <c r="H14" s="6">
        <v>0</v>
      </c>
      <c r="I14" s="6">
        <v>188.018024096685</v>
      </c>
      <c r="J14" s="6">
        <v>7.1680527676967296</v>
      </c>
      <c r="K14" s="6">
        <v>0</v>
      </c>
      <c r="L14" s="6">
        <v>0</v>
      </c>
      <c r="M14" s="6">
        <v>2268.52918888967</v>
      </c>
      <c r="N14" s="6">
        <v>0</v>
      </c>
      <c r="O14" s="6">
        <f t="shared" si="0"/>
        <v>0</v>
      </c>
    </row>
    <row r="15" spans="1:15" x14ac:dyDescent="0.3">
      <c r="A15" s="6">
        <v>13</v>
      </c>
      <c r="B15" s="6" t="s">
        <v>25</v>
      </c>
      <c r="C15" s="6">
        <v>1079.0252</v>
      </c>
      <c r="D15" s="6">
        <v>1079.0252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C766-F7C6-47B8-ADC9-DB035969D93A}">
  <dimension ref="A1:O21"/>
  <sheetViews>
    <sheetView topLeftCell="C1" workbookViewId="0">
      <selection sqref="A1:O21"/>
    </sheetView>
  </sheetViews>
  <sheetFormatPr defaultRowHeight="14.4" x14ac:dyDescent="0.3"/>
  <cols>
    <col min="14" max="14" width="8.6640625" bestFit="1" customWidth="1"/>
  </cols>
  <sheetData>
    <row r="1" spans="1:15" s="12" customFormat="1" x14ac:dyDescent="0.3"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</row>
    <row r="2" spans="1:15" x14ac:dyDescent="0.3">
      <c r="B2" s="12"/>
      <c r="C2" s="12"/>
      <c r="D2" s="14" t="s">
        <v>34</v>
      </c>
      <c r="E2" s="14" t="s">
        <v>35</v>
      </c>
      <c r="F2" s="14" t="s">
        <v>36</v>
      </c>
      <c r="G2" s="14" t="s">
        <v>37</v>
      </c>
      <c r="H2" s="14" t="s">
        <v>38</v>
      </c>
      <c r="I2" s="14" t="s">
        <v>39</v>
      </c>
      <c r="J2" s="14" t="s">
        <v>40</v>
      </c>
      <c r="K2" s="14" t="s">
        <v>41</v>
      </c>
      <c r="L2" s="14" t="s">
        <v>42</v>
      </c>
      <c r="M2" s="14" t="s">
        <v>43</v>
      </c>
      <c r="N2" s="7" t="s">
        <v>44</v>
      </c>
      <c r="O2" s="15" t="s">
        <v>45</v>
      </c>
    </row>
    <row r="3" spans="1:15" x14ac:dyDescent="0.3">
      <c r="A3" s="12">
        <v>1</v>
      </c>
      <c r="B3" s="12" t="s">
        <v>26</v>
      </c>
      <c r="C3" s="6">
        <v>17902.2347420855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f>C3-SUM(D3:N3)</f>
        <v>17902.2347420855</v>
      </c>
    </row>
    <row r="4" spans="1:15" x14ac:dyDescent="0.3">
      <c r="A4" s="12">
        <v>2</v>
      </c>
      <c r="B4" s="12" t="s">
        <v>27</v>
      </c>
      <c r="C4" s="6">
        <v>16760.348697212899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f t="shared" ref="O4:O20" si="0">C4-SUM(D4:N4)</f>
        <v>16760.348697212899</v>
      </c>
    </row>
    <row r="5" spans="1:15" x14ac:dyDescent="0.3">
      <c r="A5" s="12">
        <v>3</v>
      </c>
      <c r="B5" s="12" t="s">
        <v>6</v>
      </c>
      <c r="C5" s="6">
        <v>2539.4467723049902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f t="shared" si="0"/>
        <v>2539.4467723049902</v>
      </c>
    </row>
    <row r="6" spans="1:15" x14ac:dyDescent="0.3">
      <c r="A6" s="12">
        <v>4</v>
      </c>
      <c r="B6" s="12" t="s">
        <v>10</v>
      </c>
      <c r="C6" s="6">
        <v>12788.681992681701</v>
      </c>
      <c r="D6" s="17">
        <v>506.876106077305</v>
      </c>
      <c r="E6" s="17">
        <v>0</v>
      </c>
      <c r="F6" s="17">
        <v>0</v>
      </c>
      <c r="G6" s="17">
        <v>0</v>
      </c>
      <c r="H6" s="17">
        <v>2465.4698291415698</v>
      </c>
      <c r="I6" s="17">
        <v>597.46648386843003</v>
      </c>
      <c r="J6" s="17">
        <v>0</v>
      </c>
      <c r="K6" s="17">
        <v>0</v>
      </c>
      <c r="L6" s="17">
        <v>7008.0936616183199</v>
      </c>
      <c r="M6" s="17">
        <v>0</v>
      </c>
      <c r="N6" s="17">
        <v>0</v>
      </c>
      <c r="O6" s="17">
        <f t="shared" si="0"/>
        <v>2210.7759119760758</v>
      </c>
    </row>
    <row r="7" spans="1:15" x14ac:dyDescent="0.3">
      <c r="A7" s="12">
        <v>5</v>
      </c>
      <c r="B7" s="12" t="s">
        <v>11</v>
      </c>
      <c r="C7" s="6">
        <v>906.96273422726995</v>
      </c>
      <c r="D7" s="17">
        <v>906.96273422726995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f t="shared" si="0"/>
        <v>0</v>
      </c>
    </row>
    <row r="8" spans="1:15" ht="15.6" x14ac:dyDescent="0.3">
      <c r="A8" s="12">
        <v>6</v>
      </c>
      <c r="B8" s="13" t="s">
        <v>23</v>
      </c>
      <c r="C8" s="6">
        <v>8827.1956120000104</v>
      </c>
      <c r="D8" s="17">
        <v>2503.6608730850498</v>
      </c>
      <c r="E8" s="17">
        <v>0</v>
      </c>
      <c r="F8" s="17">
        <v>1353.0075225538401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4970.5272163611098</v>
      </c>
      <c r="N8" s="17">
        <v>0</v>
      </c>
      <c r="O8" s="17">
        <f t="shared" si="0"/>
        <v>0</v>
      </c>
    </row>
    <row r="9" spans="1:15" ht="15.6" x14ac:dyDescent="0.3">
      <c r="A9" s="12">
        <v>7</v>
      </c>
      <c r="B9" s="13" t="s">
        <v>24</v>
      </c>
      <c r="C9" s="6">
        <v>56250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f t="shared" si="0"/>
        <v>56250</v>
      </c>
    </row>
    <row r="10" spans="1:15" ht="15.6" x14ac:dyDescent="0.3">
      <c r="A10" s="12">
        <v>8</v>
      </c>
      <c r="B10" s="13" t="s">
        <v>28</v>
      </c>
      <c r="C10" s="6">
        <v>4275</v>
      </c>
      <c r="D10" s="17">
        <v>4275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f t="shared" si="0"/>
        <v>0</v>
      </c>
    </row>
    <row r="11" spans="1:15" ht="15.6" x14ac:dyDescent="0.3">
      <c r="A11" s="12">
        <v>9</v>
      </c>
      <c r="B11" s="13" t="s">
        <v>0</v>
      </c>
      <c r="C11" s="6">
        <v>8523.7728072406408</v>
      </c>
      <c r="D11" s="17">
        <v>8523.7728072406499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f t="shared" si="0"/>
        <v>0</v>
      </c>
    </row>
    <row r="12" spans="1:15" ht="15.6" x14ac:dyDescent="0.3">
      <c r="A12" s="12">
        <v>10</v>
      </c>
      <c r="B12" s="13" t="s">
        <v>29</v>
      </c>
      <c r="C12" s="6">
        <v>736.98381633025099</v>
      </c>
      <c r="D12" s="17">
        <v>736.98381633025099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f t="shared" si="0"/>
        <v>0</v>
      </c>
    </row>
    <row r="13" spans="1:15" ht="15.6" x14ac:dyDescent="0.3">
      <c r="A13" s="12">
        <v>11</v>
      </c>
      <c r="B13" s="13" t="s">
        <v>30</v>
      </c>
      <c r="C13" s="6">
        <v>322.29612959048802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1.7265847530096501</v>
      </c>
      <c r="K13" s="17">
        <v>0</v>
      </c>
      <c r="L13" s="17">
        <v>0</v>
      </c>
      <c r="M13" s="17">
        <v>0</v>
      </c>
      <c r="N13" s="17">
        <v>0</v>
      </c>
      <c r="O13" s="17">
        <f t="shared" si="0"/>
        <v>320.56954483747836</v>
      </c>
    </row>
    <row r="14" spans="1:15" ht="15.6" x14ac:dyDescent="0.3">
      <c r="A14" s="12">
        <v>12</v>
      </c>
      <c r="B14" s="13" t="s">
        <v>46</v>
      </c>
      <c r="C14" s="6">
        <v>6314.0601133582804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684.82675837292004</v>
      </c>
      <c r="O14" s="17">
        <f t="shared" si="0"/>
        <v>5629.2333549853602</v>
      </c>
    </row>
    <row r="15" spans="1:15" ht="15.6" x14ac:dyDescent="0.3">
      <c r="A15" s="12">
        <v>13</v>
      </c>
      <c r="B15" s="13" t="s">
        <v>31</v>
      </c>
      <c r="C15" s="6">
        <v>46348.938822466102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f t="shared" si="0"/>
        <v>46348.938822466102</v>
      </c>
    </row>
    <row r="16" spans="1:15" ht="15.6" x14ac:dyDescent="0.3">
      <c r="A16" s="12">
        <v>14</v>
      </c>
      <c r="B16" s="13" t="s">
        <v>32</v>
      </c>
      <c r="C16" s="6">
        <v>751.48582020618699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f t="shared" si="0"/>
        <v>751.48582020618699</v>
      </c>
    </row>
    <row r="17" spans="1:15" ht="15.6" x14ac:dyDescent="0.3">
      <c r="A17" s="12">
        <v>15</v>
      </c>
      <c r="B17" s="13" t="s">
        <v>33</v>
      </c>
      <c r="C17" s="6">
        <v>13531.2109090909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f t="shared" si="0"/>
        <v>13531.2109090909</v>
      </c>
    </row>
    <row r="18" spans="1:15" ht="15.6" x14ac:dyDescent="0.3">
      <c r="A18" s="12">
        <v>16</v>
      </c>
      <c r="B18" s="13" t="s">
        <v>12</v>
      </c>
      <c r="C18" s="6">
        <v>4313.5519193017699</v>
      </c>
      <c r="D18" s="17">
        <v>4313.5519193017799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f t="shared" si="0"/>
        <v>-1.0004441719502211E-11</v>
      </c>
    </row>
    <row r="19" spans="1:15" ht="15.6" x14ac:dyDescent="0.3">
      <c r="A19" s="12">
        <v>17</v>
      </c>
      <c r="B19" s="13" t="s">
        <v>13</v>
      </c>
      <c r="C19" s="6">
        <v>544.79113064999899</v>
      </c>
      <c r="D19" s="17">
        <v>544.79113065000001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f t="shared" si="0"/>
        <v>-1.0231815394945443E-12</v>
      </c>
    </row>
    <row r="20" spans="1:15" ht="15.6" x14ac:dyDescent="0.3">
      <c r="A20" s="12">
        <v>18</v>
      </c>
      <c r="B20" s="16" t="s">
        <v>16</v>
      </c>
      <c r="C20" s="18">
        <v>2804.4809679534801</v>
      </c>
      <c r="D20" s="17">
        <v>2804.4809679534901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f t="shared" si="0"/>
        <v>-1.0004441719502211E-11</v>
      </c>
    </row>
    <row r="21" spans="1:15" ht="15.6" x14ac:dyDescent="0.3">
      <c r="A21" s="12">
        <v>19</v>
      </c>
      <c r="B21" s="16" t="s">
        <v>17</v>
      </c>
      <c r="C21" s="18">
        <v>644.59485673333302</v>
      </c>
      <c r="D21" s="17">
        <v>644.59485673333302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f>C21-SUM(D21:N21)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17A6-6862-4F7A-8E5D-1AA260DFB2C3}">
  <dimension ref="A1:O21"/>
  <sheetViews>
    <sheetView tabSelected="1" workbookViewId="0">
      <selection activeCell="J28" sqref="J28"/>
    </sheetView>
  </sheetViews>
  <sheetFormatPr defaultRowHeight="14.4" x14ac:dyDescent="0.3"/>
  <sheetData>
    <row r="1" spans="1:15" x14ac:dyDescent="0.3">
      <c r="A1" s="12"/>
      <c r="B1" s="12"/>
      <c r="C1" s="12"/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/>
    </row>
    <row r="2" spans="1:15" x14ac:dyDescent="0.3">
      <c r="A2" s="12"/>
      <c r="B2" s="12"/>
      <c r="C2" s="12"/>
      <c r="D2" s="14" t="s">
        <v>34</v>
      </c>
      <c r="E2" s="14" t="s">
        <v>35</v>
      </c>
      <c r="F2" s="14" t="s">
        <v>36</v>
      </c>
      <c r="G2" s="14" t="s">
        <v>37</v>
      </c>
      <c r="H2" s="14" t="s">
        <v>38</v>
      </c>
      <c r="I2" s="14" t="s">
        <v>39</v>
      </c>
      <c r="J2" s="14" t="s">
        <v>40</v>
      </c>
      <c r="K2" s="14" t="s">
        <v>41</v>
      </c>
      <c r="L2" s="14" t="s">
        <v>42</v>
      </c>
      <c r="M2" s="14" t="s">
        <v>43</v>
      </c>
      <c r="N2" s="7" t="s">
        <v>44</v>
      </c>
      <c r="O2" s="15" t="s">
        <v>45</v>
      </c>
    </row>
    <row r="3" spans="1:15" x14ac:dyDescent="0.3">
      <c r="A3" s="12">
        <v>1</v>
      </c>
      <c r="B3" s="12" t="s">
        <v>26</v>
      </c>
      <c r="C3" s="6">
        <v>17902.2347420855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f>C3-SUM(D3:N3)</f>
        <v>17902.2347420855</v>
      </c>
    </row>
    <row r="4" spans="1:15" x14ac:dyDescent="0.3">
      <c r="A4" s="12">
        <v>2</v>
      </c>
      <c r="B4" s="12" t="s">
        <v>27</v>
      </c>
      <c r="C4" s="6">
        <v>16760.348697212899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f t="shared" ref="O4:O20" si="0">C4-SUM(D4:N4)</f>
        <v>16760.348697212899</v>
      </c>
    </row>
    <row r="5" spans="1:15" x14ac:dyDescent="0.3">
      <c r="A5" s="12">
        <v>3</v>
      </c>
      <c r="B5" s="12" t="s">
        <v>6</v>
      </c>
      <c r="C5" s="6">
        <v>2539.4467723049902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f t="shared" si="0"/>
        <v>2539.4467723049902</v>
      </c>
    </row>
    <row r="6" spans="1:15" x14ac:dyDescent="0.3">
      <c r="A6" s="12">
        <v>4</v>
      </c>
      <c r="B6" s="12" t="s">
        <v>10</v>
      </c>
      <c r="C6" s="6">
        <v>12788.681992681701</v>
      </c>
      <c r="D6" s="1">
        <v>0</v>
      </c>
      <c r="E6" s="1">
        <v>0</v>
      </c>
      <c r="F6" s="1">
        <v>0</v>
      </c>
      <c r="G6" s="1">
        <v>0</v>
      </c>
      <c r="H6" s="1">
        <v>2465.4698291415698</v>
      </c>
      <c r="I6" s="1">
        <v>597.46648386843003</v>
      </c>
      <c r="J6" s="1">
        <v>0</v>
      </c>
      <c r="K6" s="1">
        <v>0</v>
      </c>
      <c r="L6" s="1">
        <v>7008.0936616183199</v>
      </c>
      <c r="M6" s="1">
        <v>2660.4967189333602</v>
      </c>
      <c r="N6" s="1">
        <v>0</v>
      </c>
      <c r="O6" s="17">
        <f t="shared" si="0"/>
        <v>57.155299120020572</v>
      </c>
    </row>
    <row r="7" spans="1:15" x14ac:dyDescent="0.3">
      <c r="A7" s="12">
        <v>5</v>
      </c>
      <c r="B7" s="12" t="s">
        <v>11</v>
      </c>
      <c r="C7" s="6">
        <v>906.96273422726995</v>
      </c>
      <c r="D7" s="1">
        <v>906.96273422726995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7">
        <f t="shared" si="0"/>
        <v>0</v>
      </c>
    </row>
    <row r="8" spans="1:15" ht="15.6" x14ac:dyDescent="0.3">
      <c r="A8" s="12">
        <v>6</v>
      </c>
      <c r="B8" s="13" t="s">
        <v>23</v>
      </c>
      <c r="C8" s="6">
        <v>8827.1956120000104</v>
      </c>
      <c r="D8" s="1">
        <v>5431.2958305756902</v>
      </c>
      <c r="E8" s="1">
        <v>0</v>
      </c>
      <c r="F8" s="1">
        <v>1353.0075225538401</v>
      </c>
      <c r="G8" s="1">
        <v>2042.89225887047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7">
        <f t="shared" si="0"/>
        <v>0</v>
      </c>
    </row>
    <row r="9" spans="1:15" ht="15.6" x14ac:dyDescent="0.3">
      <c r="A9" s="12">
        <v>7</v>
      </c>
      <c r="B9" s="13" t="s">
        <v>24</v>
      </c>
      <c r="C9" s="6">
        <v>56250</v>
      </c>
      <c r="D9" s="1">
        <v>0</v>
      </c>
      <c r="E9" s="1">
        <v>1058.1574884199699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7">
        <f t="shared" si="0"/>
        <v>55191.842511580027</v>
      </c>
    </row>
    <row r="10" spans="1:15" ht="15.6" x14ac:dyDescent="0.3">
      <c r="A10" s="12">
        <v>8</v>
      </c>
      <c r="B10" s="13" t="s">
        <v>28</v>
      </c>
      <c r="C10" s="6">
        <v>4275</v>
      </c>
      <c r="D10" s="1">
        <v>2782.45914693542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1492.54085306458</v>
      </c>
      <c r="N10" s="1">
        <v>0</v>
      </c>
      <c r="O10" s="17">
        <f t="shared" si="0"/>
        <v>0</v>
      </c>
    </row>
    <row r="11" spans="1:15" ht="15.6" x14ac:dyDescent="0.3">
      <c r="A11" s="12">
        <v>9</v>
      </c>
      <c r="B11" s="13" t="s">
        <v>0</v>
      </c>
      <c r="C11" s="6">
        <v>8523.7728072406408</v>
      </c>
      <c r="D11" s="1">
        <v>8523.7728072406499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7">
        <f t="shared" si="0"/>
        <v>0</v>
      </c>
    </row>
    <row r="12" spans="1:15" ht="15.6" x14ac:dyDescent="0.3">
      <c r="A12" s="12">
        <v>10</v>
      </c>
      <c r="B12" s="13" t="s">
        <v>29</v>
      </c>
      <c r="C12" s="6">
        <v>736.98381633025099</v>
      </c>
      <c r="D12" s="1">
        <v>736.98381633025099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7">
        <f t="shared" si="0"/>
        <v>0</v>
      </c>
    </row>
    <row r="13" spans="1:15" ht="15.6" x14ac:dyDescent="0.3">
      <c r="A13" s="12">
        <v>11</v>
      </c>
      <c r="B13" s="13" t="s">
        <v>30</v>
      </c>
      <c r="C13" s="6">
        <v>322.29612959048802</v>
      </c>
      <c r="D13" s="1">
        <v>0</v>
      </c>
      <c r="E13" s="1">
        <v>0</v>
      </c>
      <c r="F13" s="1">
        <v>0</v>
      </c>
      <c r="G13" s="1">
        <v>320.56954483747899</v>
      </c>
      <c r="H13" s="1">
        <v>0</v>
      </c>
      <c r="I13" s="1">
        <v>0</v>
      </c>
      <c r="J13" s="1">
        <v>1.7265847530096501</v>
      </c>
      <c r="K13" s="1">
        <v>0</v>
      </c>
      <c r="L13" s="1">
        <v>0</v>
      </c>
      <c r="M13" s="1">
        <v>0</v>
      </c>
      <c r="N13" s="1">
        <v>0</v>
      </c>
      <c r="O13" s="17">
        <f t="shared" si="0"/>
        <v>-6.2527760746888816E-13</v>
      </c>
    </row>
    <row r="14" spans="1:15" ht="15.6" x14ac:dyDescent="0.3">
      <c r="A14" s="12">
        <v>12</v>
      </c>
      <c r="B14" s="13" t="s">
        <v>46</v>
      </c>
      <c r="C14" s="6">
        <v>6314.0601133582804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684.82675837292004</v>
      </c>
      <c r="O14" s="17">
        <f t="shared" si="0"/>
        <v>5629.2333549853602</v>
      </c>
    </row>
    <row r="15" spans="1:15" ht="15.6" x14ac:dyDescent="0.3">
      <c r="A15" s="12">
        <v>13</v>
      </c>
      <c r="B15" s="13" t="s">
        <v>31</v>
      </c>
      <c r="C15" s="6">
        <v>46348.938822466102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f t="shared" si="0"/>
        <v>46348.938822466102</v>
      </c>
    </row>
    <row r="16" spans="1:15" ht="15.6" x14ac:dyDescent="0.3">
      <c r="A16" s="12">
        <v>14</v>
      </c>
      <c r="B16" s="13" t="s">
        <v>32</v>
      </c>
      <c r="C16" s="6">
        <v>751.48582020618699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f t="shared" si="0"/>
        <v>751.48582020618699</v>
      </c>
    </row>
    <row r="17" spans="1:15" ht="15.6" x14ac:dyDescent="0.3">
      <c r="A17" s="12">
        <v>15</v>
      </c>
      <c r="B17" s="13" t="s">
        <v>33</v>
      </c>
      <c r="C17" s="6">
        <v>13531.2109090909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f t="shared" si="0"/>
        <v>13531.2109090909</v>
      </c>
    </row>
    <row r="18" spans="1:15" ht="15.6" x14ac:dyDescent="0.3">
      <c r="A18" s="12">
        <v>16</v>
      </c>
      <c r="B18" s="13" t="s">
        <v>12</v>
      </c>
      <c r="C18" s="6">
        <v>4313.5519193017699</v>
      </c>
      <c r="D18" s="1">
        <v>4313.5519193017799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7">
        <f t="shared" si="0"/>
        <v>-1.0004441719502211E-11</v>
      </c>
    </row>
    <row r="19" spans="1:15" ht="15.6" x14ac:dyDescent="0.3">
      <c r="A19" s="12">
        <v>17</v>
      </c>
      <c r="B19" s="13" t="s">
        <v>13</v>
      </c>
      <c r="C19" s="6">
        <v>544.79113064999899</v>
      </c>
      <c r="D19" s="17">
        <v>544.79113065000001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f t="shared" si="0"/>
        <v>-1.0231815394945443E-12</v>
      </c>
    </row>
    <row r="20" spans="1:15" ht="15.6" x14ac:dyDescent="0.3">
      <c r="A20" s="12">
        <v>18</v>
      </c>
      <c r="B20" s="16" t="s">
        <v>16</v>
      </c>
      <c r="C20" s="18">
        <v>2804.4809679534801</v>
      </c>
      <c r="D20" s="1">
        <v>2780.2048791461698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24.2760888073201</v>
      </c>
      <c r="L20" s="1">
        <v>0</v>
      </c>
      <c r="M20" s="1">
        <v>0</v>
      </c>
      <c r="N20" s="1">
        <v>0</v>
      </c>
      <c r="O20" s="17">
        <f t="shared" si="0"/>
        <v>-1.0004441719502211E-11</v>
      </c>
    </row>
    <row r="21" spans="1:15" ht="15.6" x14ac:dyDescent="0.3">
      <c r="A21" s="12">
        <v>19</v>
      </c>
      <c r="B21" s="16" t="s">
        <v>17</v>
      </c>
      <c r="C21" s="18">
        <v>644.59485673333302</v>
      </c>
      <c r="D21" s="17">
        <v>644.59485673333302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f>C21-SUM(D21:N21)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CN_env</vt:lpstr>
      <vt:lpstr>CN_Eco</vt:lpstr>
      <vt:lpstr>US_env</vt:lpstr>
      <vt:lpstr>US_Eco</vt:lpstr>
      <vt:lpstr>EU_Env</vt:lpstr>
      <vt:lpstr>EU_eco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2025-08-24T20:18:17Z</dcterms:modified>
</cp:coreProperties>
</file>